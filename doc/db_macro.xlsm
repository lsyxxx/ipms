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32320781-23BB-4C9A-ACE6-B1768F9D1361}" xr6:coauthVersionLast="47" xr6:coauthVersionMax="47" xr10:uidLastSave="{00000000-0000-0000-0000-000000000000}"/>
  <bookViews>
    <workbookView xWindow="3360" yWindow="390" windowWidth="23145" windowHeight="15090" firstSheet="5" activeTab="8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tripUI" sheetId="11" r:id="rId8"/>
    <sheet name="wf_pay_voucher" sheetId="12" r:id="rId9"/>
    <sheet name="PayVoucherUI" sheetId="13" r:id="rId10"/>
    <sheet name="wf_loan" sheetId="14" r:id="rId11"/>
    <sheet name="wf_inv" sheetId="15" r:id="rId12"/>
    <sheet name="fi_bank_acct" sheetId="3" r:id="rId13"/>
    <sheet name="fi_debit_book" sheetId="4" r:id="rId14"/>
    <sheet name="fi_credit_book" sheetId="10" r:id="rId15"/>
  </sheets>
  <definedNames>
    <definedName name="_xlnm._FilterDatabase" localSheetId="2" hidden="1">ReimburseForm!$A$1:$L$43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5" l="1"/>
  <c r="I2" i="14"/>
  <c r="I2" i="12"/>
  <c r="A18" i="13"/>
  <c r="H39" i="1"/>
  <c r="L39" i="1"/>
  <c r="B39" i="1"/>
  <c r="G9" i="3"/>
  <c r="G5" i="3"/>
  <c r="G6" i="3"/>
  <c r="G7" i="3"/>
  <c r="G8" i="3"/>
  <c r="G4" i="3"/>
  <c r="G23" i="8"/>
  <c r="D8" i="9"/>
  <c r="D7" i="9"/>
  <c r="D6" i="9"/>
  <c r="D5" i="9"/>
  <c r="G24" i="8"/>
  <c r="N35" i="2"/>
  <c r="N36" i="2"/>
  <c r="N37" i="2"/>
  <c r="N38" i="2"/>
  <c r="N39" i="2"/>
  <c r="N40" i="2"/>
  <c r="N41" i="2"/>
  <c r="N42" i="2"/>
  <c r="N43" i="2"/>
  <c r="N44" i="2"/>
  <c r="N34" i="2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4" i="8"/>
  <c r="I25" i="1"/>
  <c r="J25" i="1" s="1"/>
  <c r="K25" i="1" s="1"/>
  <c r="H25" i="1"/>
  <c r="L25" i="1" s="1"/>
  <c r="B25" i="1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I7" i="1"/>
  <c r="H7" i="1"/>
  <c r="L7" i="1" s="1"/>
  <c r="B7" i="1"/>
  <c r="I6" i="1"/>
  <c r="H6" i="1"/>
  <c r="L6" i="1" s="1"/>
  <c r="B6" i="1"/>
  <c r="J44" i="2"/>
  <c r="K44" i="2" s="1"/>
  <c r="I44" i="2"/>
  <c r="B44" i="2"/>
  <c r="I19" i="1"/>
  <c r="J19" i="1" s="1"/>
  <c r="H19" i="1"/>
  <c r="L19" i="1" s="1"/>
  <c r="B19" i="1"/>
  <c r="I18" i="1"/>
  <c r="J18" i="1" s="1"/>
  <c r="H18" i="1"/>
  <c r="L18" i="1" s="1"/>
  <c r="B18" i="1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8" i="1"/>
  <c r="J38" i="1" s="1"/>
  <c r="H38" i="1"/>
  <c r="L38" i="1" s="1"/>
  <c r="B38" i="1"/>
  <c r="I37" i="1"/>
  <c r="J37" i="1" s="1"/>
  <c r="H37" i="1"/>
  <c r="L37" i="1" s="1"/>
  <c r="B37" i="1"/>
  <c r="I36" i="1"/>
  <c r="H36" i="1"/>
  <c r="L36" i="1" s="1"/>
  <c r="B36" i="1"/>
  <c r="J36" i="1" s="1"/>
  <c r="I35" i="1"/>
  <c r="H35" i="1"/>
  <c r="L35" i="1" s="1"/>
  <c r="B35" i="1"/>
  <c r="J35" i="1" s="1"/>
  <c r="I34" i="1"/>
  <c r="J34" i="1" s="1"/>
  <c r="H34" i="1"/>
  <c r="L34" i="1" s="1"/>
  <c r="B34" i="1"/>
  <c r="I33" i="1"/>
  <c r="J33" i="1" s="1"/>
  <c r="H33" i="1"/>
  <c r="L33" i="1" s="1"/>
  <c r="B33" i="1"/>
  <c r="I32" i="1"/>
  <c r="J32" i="1" s="1"/>
  <c r="H32" i="1"/>
  <c r="L32" i="1" s="1"/>
  <c r="B32" i="1"/>
  <c r="I31" i="1"/>
  <c r="J31" i="1" s="1"/>
  <c r="H31" i="1"/>
  <c r="L31" i="1" s="1"/>
  <c r="B31" i="1"/>
  <c r="I30" i="1"/>
  <c r="J30" i="1" s="1"/>
  <c r="H30" i="1"/>
  <c r="L30" i="1" s="1"/>
  <c r="B30" i="1"/>
  <c r="I29" i="1"/>
  <c r="H29" i="1"/>
  <c r="L29" i="1" s="1"/>
  <c r="B29" i="1"/>
  <c r="J29" i="1" s="1"/>
  <c r="I28" i="1"/>
  <c r="J28" i="1" s="1"/>
  <c r="H28" i="1"/>
  <c r="L28" i="1" s="1"/>
  <c r="B28" i="1"/>
  <c r="I27" i="1"/>
  <c r="J27" i="1" s="1"/>
  <c r="H27" i="1"/>
  <c r="L27" i="1" s="1"/>
  <c r="B27" i="1"/>
  <c r="I26" i="1"/>
  <c r="J26" i="1" s="1"/>
  <c r="H26" i="1"/>
  <c r="L26" i="1" s="1"/>
  <c r="B26" i="1"/>
  <c r="I24" i="1"/>
  <c r="J24" i="1" s="1"/>
  <c r="H24" i="1"/>
  <c r="L24" i="1" s="1"/>
  <c r="B24" i="1"/>
  <c r="I20" i="1"/>
  <c r="J20" i="1" s="1"/>
  <c r="H20" i="1"/>
  <c r="L20" i="1" s="1"/>
  <c r="B20" i="1"/>
  <c r="I23" i="1"/>
  <c r="J23" i="1" s="1"/>
  <c r="H23" i="1"/>
  <c r="L23" i="1" s="1"/>
  <c r="B23" i="1"/>
  <c r="I22" i="1"/>
  <c r="J22" i="1" s="1"/>
  <c r="H22" i="1"/>
  <c r="L22" i="1" s="1"/>
  <c r="B22" i="1"/>
  <c r="I21" i="1"/>
  <c r="J21" i="1" s="1"/>
  <c r="H21" i="1"/>
  <c r="L21" i="1" s="1"/>
  <c r="B21" i="1"/>
  <c r="I17" i="1"/>
  <c r="J17" i="1" s="1"/>
  <c r="H17" i="1"/>
  <c r="L17" i="1" s="1"/>
  <c r="B17" i="1"/>
  <c r="I16" i="1"/>
  <c r="J16" i="1" s="1"/>
  <c r="H16" i="1"/>
  <c r="B16" i="1"/>
  <c r="I15" i="1"/>
  <c r="J15" i="1" s="1"/>
  <c r="H15" i="1"/>
  <c r="L15" i="1" s="1"/>
  <c r="B15" i="1"/>
  <c r="I14" i="1"/>
  <c r="J14" i="1" s="1"/>
  <c r="H14" i="1"/>
  <c r="L14" i="1" s="1"/>
  <c r="B14" i="1"/>
  <c r="I13" i="1"/>
  <c r="J13" i="1" s="1"/>
  <c r="H13" i="1"/>
  <c r="L13" i="1" s="1"/>
  <c r="B13" i="1"/>
  <c r="I12" i="1"/>
  <c r="J12" i="1" s="1"/>
  <c r="H12" i="1"/>
  <c r="L12" i="1" s="1"/>
  <c r="B12" i="1"/>
  <c r="I11" i="1"/>
  <c r="J11" i="1" s="1"/>
  <c r="H11" i="1"/>
  <c r="L11" i="1" s="1"/>
  <c r="B11" i="1"/>
  <c r="I10" i="1"/>
  <c r="J10" i="1" s="1"/>
  <c r="H10" i="1"/>
  <c r="L10" i="1" s="1"/>
  <c r="B10" i="1"/>
  <c r="I9" i="1"/>
  <c r="H9" i="1"/>
  <c r="L9" i="1" s="1"/>
  <c r="B9" i="1"/>
  <c r="J9" i="1" s="1"/>
  <c r="I8" i="1"/>
  <c r="J8" i="1" s="1"/>
  <c r="H8" i="1"/>
  <c r="L8" i="1" s="1"/>
  <c r="B8" i="1"/>
  <c r="I5" i="1"/>
  <c r="J5" i="1" s="1"/>
  <c r="H5" i="1"/>
  <c r="L5" i="1" s="1"/>
  <c r="B5" i="1"/>
  <c r="H4" i="1"/>
  <c r="L4" i="1" s="1"/>
  <c r="B4" i="1"/>
  <c r="I4" i="1" s="1"/>
  <c r="J4" i="1" s="1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K16" i="1" l="1"/>
  <c r="K34" i="1"/>
  <c r="L16" i="1"/>
  <c r="L19" i="5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K19" i="1"/>
  <c r="K29" i="1"/>
  <c r="K8" i="1"/>
  <c r="K13" i="1"/>
  <c r="K32" i="1"/>
  <c r="L44" i="2"/>
  <c r="B51" i="2"/>
  <c r="B50" i="2"/>
  <c r="K26" i="1"/>
  <c r="K17" i="1"/>
  <c r="K28" i="1"/>
  <c r="K18" i="1"/>
  <c r="K37" i="1"/>
  <c r="K11" i="1"/>
  <c r="K30" i="1"/>
  <c r="K5" i="1"/>
  <c r="K15" i="1"/>
  <c r="K24" i="1"/>
  <c r="K38" i="1"/>
  <c r="K23" i="1"/>
  <c r="K36" i="1"/>
  <c r="K12" i="1"/>
  <c r="K31" i="1"/>
  <c r="K10" i="1"/>
  <c r="K21" i="1"/>
  <c r="K9" i="1"/>
  <c r="K14" i="1"/>
  <c r="K22" i="1"/>
  <c r="K27" i="1"/>
  <c r="K33" i="1"/>
  <c r="K4" i="1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K20" i="1"/>
  <c r="K35" i="1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<sst xmlns="http://schemas.openxmlformats.org/spreadsheetml/2006/main" count="1550" uniqueCount="766">
  <si>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</si>
  <si>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</si>
  <si>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</si>
  <si>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</si>
  <si>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</si>
  <si>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</si>
  <si>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</si>
  <si>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</si>
  <si>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</si>
  <si>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</si>
  <si>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</si>
  <si>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</si>
  <si>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</si>
  <si>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</si>
  <si>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</si>
  <si>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</si>
  <si>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</si>
  <si>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</si>
  <si>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</si>
  <si>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</si>
  <si>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</si>
  <si>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</si>
  <si>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</si>
  <si>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</si>
  <si>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</si>
  <si>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</si>
  <si>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</si>
  <si>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</si>
  <si>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</si>
  <si>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</si>
  <si>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</si>
  <si>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</si>
  <si>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</si>
  <si>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</si>
  <si>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</si>
  <si>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</si>
  <si>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</si>
  <si>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</si>
  <si>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</si>
  <si>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</si>
  <si>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</si>
  <si>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</si>
  <si>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</si>
  <si>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</si>
  <si>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</si>
  <si>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</si>
  <si>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</si>
  <si>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</si>
  <si>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</si>
  <si>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</si>
  <si>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</si>
  <si>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</si>
  <si>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</si>
  <si>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</si>
  <si>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</si>
  <si>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</si>
  <si>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</si>
  <si>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</si>
  <si>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</si>
  <si>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</si>
  <si>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</si>
  <si>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</si>
  <si>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</si>
  <si>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</si>
  <si>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</si>
  <si>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</si>
  <si>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</si>
  <si>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</si>
  <si>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</si>
  <si>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</si>
  <si>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</si>
  <si>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</si>
  <si>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</si>
  <si>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</si>
  <si>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</si>
  <si>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</si>
  <si>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</si>
  <si>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</si>
  <si>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</si>
  <si>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</si>
  <si>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</si>
  <si>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</si>
  <si>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</si>
  <si>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</si>
  <si>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</si>
  <si>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</si>
  <si>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</si>
  <si>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</si>
  <si>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</si>
  <si>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</si>
  <si>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</si>
  <si>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</si>
  <si>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</si>
  <si>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</si>
  <si>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</si>
  <si>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</si>
  <si>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</si>
  <si>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</si>
  <si>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</si>
  <si>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</si>
  <si>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</si>
  <si>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</si>
  <si>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</si>
  <si>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</si>
  <si>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</si>
  <si>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</si>
  <si>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</si>
  <si>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</si>
  <si>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</si>
  <si>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</si>
  <si>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</si>
  <si>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</si>
  <si>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</si>
  <si>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</si>
  <si>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</si>
  <si>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</si>
  <si>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</si>
  <si>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</si>
  <si>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</si>
  <si>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</si>
  <si>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</si>
  <si>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</si>
  <si>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</si>
  <si>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</si>
  <si>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</si>
  <si>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</si>
  <si>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</si>
  <si>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</si>
  <si>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</si>
  <si>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</si>
  <si>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</si>
  <si>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</si>
  <si>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</si>
  <si>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</si>
  <si>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</si>
  <si>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</si>
  <si>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</si>
  <si>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</si>
  <si>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</si>
  <si>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</si>
  <si>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</si>
  <si>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</si>
  <si>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</si>
  <si>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</si>
  <si>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</si>
  <si>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</si>
  <si>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</si>
  <si>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</si>
  <si>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</si>
  <si>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</si>
  <si>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</si>
  <si>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</si>
  <si>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</si>
  <si>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</si>
  <si>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</si>
  <si>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</si>
  <si>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</si>
  <si>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</si>
  <si>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</si>
  <si>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</si>
  <si>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</si>
  <si>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</si>
  <si>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</si>
  <si>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</si>
  <si>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</si>
  <si>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</si>
  <si>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</si>
  <si>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</si>
  <si>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</si>
  <si>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</si>
  <si>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</si>
  <si>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</si>
  <si>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</si>
  <si>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</si>
  <si>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</si>
  <si>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</si>
  <si>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</si>
  <si>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</si>
  <si>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</si>
  <si>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</si>
  <si>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</si>
  <si>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</si>
  <si>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</si>
  <si>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</si>
  <si>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</si>
  <si>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</si>
  <si>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</si>
  <si>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</si>
  <si>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</si>
  <si>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</si>
  <si>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</si>
  <si>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</si>
  <si>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</si>
  <si>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</si>
  <si>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</si>
  <si>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</si>
  <si>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</si>
  <si>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</si>
  <si>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</si>
  <si>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</si>
  <si>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</si>
  <si>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</si>
  <si>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</si>
  <si>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</si>
  <si>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</si>
  <si>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</si>
  <si>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</si>
  <si>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</si>
  <si>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</si>
  <si>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</si>
  <si>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</si>
  <si>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</si>
  <si>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</si>
  <si>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</si>
  <si>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</si>
  <si>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</si>
  <si>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</si>
  <si>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</si>
  <si>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</si>
  <si>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</si>
  <si>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</si>
  <si>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</si>
  <si>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 xml:space="preserve">String 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</si>
  <si>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</si>
  <si>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</si>
  <si>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</si>
  <si>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</si>
  <si>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</si>
  <si>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</si>
  <si>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</si>
  <si>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</si>
  <si>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</si>
  <si>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</si>
  <si>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</si>
  <si>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</si>
  <si>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</si>
  <si>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</si>
  <si>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start_date</t>
    <phoneticPr fontId="1" type="noConversion"/>
  </si>
  <si>
    <t>end_date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</si>
  <si>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</si>
  <si>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</si>
  <si>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</si>
  <si>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</si>
  <si>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</si>
  <si>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</si>
  <si>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</si>
  <si>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</si>
  <si>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</si>
  <si>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</si>
  <si>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</si>
  <si>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</si>
  <si>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</si>
  <si>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</si>
  <si>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</si>
  <si>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</si>
  <si>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</si>
  <si>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</si>
  <si>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</si>
  <si>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</si>
  <si>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</si>
  <si>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</si>
  <si>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</si>
  <si>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</si>
  <si>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</si>
  <si>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</si>
  <si>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</si>
  <si>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</si>
  <si>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</si>
  <si>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</si>
  <si>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</si>
  <si>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</si>
  <si>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</si>
  <si>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</si>
  <si>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</si>
  <si>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</si>
  <si>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</si>
  <si>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</si>
  <si>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</si>
  <si>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</si>
  <si>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</si>
  <si>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</si>
  <si>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</si>
  <si>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</si>
  <si>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</si>
  <si>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</si>
  <si>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</si>
  <si>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</si>
  <si>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</si>
  <si>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</si>
  <si>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</si>
  <si>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</si>
  <si>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</si>
  <si>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</si>
  <si>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</si>
  <si>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</si>
  <si>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</si>
  <si>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</si>
  <si>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</si>
  <si>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</si>
  <si>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</si>
  <si>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</si>
  <si>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</si>
  <si>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</si>
  <si>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</si>
  <si>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</si>
  <si>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</si>
  <si>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</si>
  <si>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</si>
  <si>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</si>
  <si>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</si>
  <si>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</si>
  <si>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</si>
  <si>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</si>
  <si>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</si>
  <si>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</si>
  <si>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</si>
  <si>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</si>
  <si>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</si>
  <si>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</si>
  <si>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</si>
  <si>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</si>
  <si>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</si>
  <si>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</si>
  <si>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</si>
  <si>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</si>
  <si>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</si>
  <si>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</si>
  <si>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</si>
  <si>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</si>
  <si>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</si>
  <si>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</si>
  <si>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</si>
  <si>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</si>
  <si>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</si>
  <si>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</si>
  <si>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</si>
  <si>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</si>
  <si>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</si>
  <si>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</si>
  <si>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</si>
  <si>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</si>
  <si>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</si>
  <si>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</si>
  <si>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</si>
  <si>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</si>
  <si>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</si>
  <si>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</si>
  <si>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</si>
  <si>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</si>
  <si>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</si>
  <si>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</si>
  <si>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</si>
  <si>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</si>
  <si>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</si>
  <si>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</si>
  <si>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</si>
  <si>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</si>
  <si>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</si>
  <si>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</si>
  <si>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</si>
  <si>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</si>
  <si>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</si>
  <si>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</si>
  <si>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</si>
  <si>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</si>
  <si>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</si>
  <si>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</si>
  <si>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</si>
  <si>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</si>
  <si>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</si>
  <si>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</si>
  <si>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</si>
  <si>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</si>
  <si>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</si>
  <si>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</si>
  <si>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</si>
  <si>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</si>
  <si>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</si>
  <si>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</si>
  <si>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</si>
  <si>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</si>
  <si>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</si>
  <si>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</si>
  <si>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</si>
  <si>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</si>
  <si>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</si>
  <si>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</si>
  <si>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</si>
  <si>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</si>
  <si>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</si>
  <si>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</si>
  <si>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</si>
  <si>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</si>
  <si>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</si>
  <si>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</si>
  <si>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</si>
  <si>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</si>
  <si>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</si>
  <si>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</si>
  <si>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</si>
  <si>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</si>
  <si>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</si>
  <si>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</si>
  <si>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</si>
  <si>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</si>
  <si>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</si>
  <si>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</si>
  <si>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</si>
  <si>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</si>
  <si>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</si>
  <si>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</si>
  <si>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</si>
  <si>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</si>
  <si>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</si>
  <si>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</si>
  <si>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</si>
  <si>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</si>
  <si>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</si>
  <si>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</si>
  <si>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</si>
  <si>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</si>
  <si>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</si>
  <si>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</si>
  <si>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</si>
  <si>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</si>
  <si>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</si>
  <si>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</si>
  <si>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</si>
  <si>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</si>
  <si>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</si>
  <si>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</si>
  <si>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</si>
  <si>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</si>
  <si>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</si>
  <si>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</si>
  <si>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</si>
  <si>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</si>
  <si>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</si>
  <si>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</si>
  <si>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</si>
  <si>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</si>
  <si>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</si>
  <si>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</si>
  <si>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</si>
  <si>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</si>
  <si>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</si>
  <si>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</si>
  <si>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</si>
  <si>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</si>
  <si>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</si>
  <si>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</si>
  <si>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</si>
  <si>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</si>
  <si>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</si>
  <si>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</si>
  <si>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</si>
  <si>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</si>
  <si>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</si>
  <si>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</si>
  <si>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</si>
  <si>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</si>
  <si>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</si>
  <si>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</si>
  <si>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</si>
  <si>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</si>
  <si>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</si>
  <si>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</si>
  <si>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</si>
  <si>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</si>
  <si>
    <t>myTripRbsList</t>
    <phoneticPr fontId="1" type="noConversion"/>
  </si>
  <si>
    <t>我的出差报销记录</t>
    <phoneticPr fontId="1" type="noConversion"/>
  </si>
  <si>
    <t>搜索</t>
    <phoneticPr fontId="1" type="noConversion"/>
  </si>
  <si>
    <t>申请人</t>
    <phoneticPr fontId="1" type="noConversion"/>
  </si>
  <si>
    <t>申请日期（起止日期）</t>
    <phoneticPr fontId="1" type="noConversion"/>
  </si>
  <si>
    <t>user</t>
    <phoneticPr fontId="1" type="noConversion"/>
  </si>
  <si>
    <t>startDate</t>
    <phoneticPr fontId="1" type="noConversion"/>
  </si>
  <si>
    <t>endDate</t>
    <phoneticPr fontId="1" type="noConversion"/>
  </si>
  <si>
    <t>出差人员包含</t>
    <phoneticPr fontId="1" type="noConversion"/>
  </si>
  <si>
    <t>流程状态</t>
    <phoneticPr fontId="1" type="noConversion"/>
  </si>
  <si>
    <t>审批编号</t>
    <phoneticPr fontId="1" type="noConversion"/>
  </si>
  <si>
    <t>input</t>
    <phoneticPr fontId="1" type="noConversion"/>
  </si>
  <si>
    <t>state</t>
    <phoneticPr fontId="1" type="noConversion"/>
  </si>
  <si>
    <t>select</t>
    <phoneticPr fontId="1" type="noConversion"/>
  </si>
  <si>
    <t>Date</t>
    <phoneticPr fontId="1" type="noConversion"/>
  </si>
  <si>
    <t>列表</t>
    <phoneticPr fontId="1" type="noConversion"/>
  </si>
  <si>
    <t>行程</t>
    <phoneticPr fontId="1" type="noConversion"/>
  </si>
  <si>
    <t>起止地点</t>
    <phoneticPr fontId="1" type="noConversion"/>
  </si>
  <si>
    <t>起止事件</t>
    <phoneticPr fontId="1" type="noConversion"/>
  </si>
  <si>
    <t>状态</t>
    <phoneticPr fontId="1" type="noConversion"/>
  </si>
  <si>
    <t>当前节点</t>
    <phoneticPr fontId="1" type="noConversion"/>
  </si>
  <si>
    <t>创建人</t>
    <phoneticPr fontId="1" type="noConversion"/>
  </si>
  <si>
    <t>当前审批人</t>
    <phoneticPr fontId="1" type="noConversion"/>
  </si>
  <si>
    <t>起讫地点</t>
    <phoneticPr fontId="1" type="noConversion"/>
  </si>
  <si>
    <t>2024/1/5-2024/1/8</t>
    <phoneticPr fontId="1" type="noConversion"/>
  </si>
  <si>
    <t>西安-北京</t>
    <phoneticPr fontId="1" type="noConversion"/>
  </si>
  <si>
    <t>出差了</t>
    <phoneticPr fontId="1" type="noConversion"/>
  </si>
  <si>
    <t>审批中</t>
    <phoneticPr fontId="1" type="noConversion"/>
  </si>
  <si>
    <t>财务</t>
    <phoneticPr fontId="1" type="noConversion"/>
  </si>
  <si>
    <t>财务负责人</t>
    <phoneticPr fontId="1" type="noConversion"/>
  </si>
  <si>
    <t>刘宋菀</t>
    <phoneticPr fontId="1" type="noConversion"/>
  </si>
  <si>
    <t>创建时间</t>
    <phoneticPr fontId="1" type="noConversion"/>
  </si>
  <si>
    <t>出差人员</t>
    <phoneticPr fontId="1" type="noConversion"/>
  </si>
  <si>
    <t>刘宋菀，宋哈哈</t>
    <phoneticPr fontId="1" type="noConversion"/>
  </si>
  <si>
    <t>2024/1/9-2024/1/10</t>
    <phoneticPr fontId="1" type="noConversion"/>
  </si>
  <si>
    <t>北京-沈阳</t>
    <phoneticPr fontId="1" type="noConversion"/>
  </si>
  <si>
    <t>我申请的/待办/已办/全部记录</t>
    <phoneticPr fontId="1" type="noConversion"/>
  </si>
  <si>
    <t>wf_pay_voucher</t>
    <phoneticPr fontId="1" type="noConversion"/>
  </si>
  <si>
    <t>款项支付单</t>
    <phoneticPr fontId="1" type="noConversion"/>
  </si>
  <si>
    <t>PayVoucher</t>
    <phoneticPr fontId="1" type="noConversion"/>
  </si>
  <si>
    <t>付款金额</t>
    <phoneticPr fontId="1" type="noConversion"/>
  </si>
  <si>
    <t>contactName</t>
    <phoneticPr fontId="1" type="noConversion"/>
  </si>
  <si>
    <t>合同名称</t>
    <phoneticPr fontId="1" type="noConversion"/>
  </si>
  <si>
    <t>contactDesc</t>
    <phoneticPr fontId="1" type="noConversion"/>
  </si>
  <si>
    <t>合同内容</t>
    <phoneticPr fontId="1" type="noConversion"/>
  </si>
  <si>
    <t>contactNo</t>
    <phoneticPr fontId="1" type="noConversion"/>
  </si>
  <si>
    <t>合同编号</t>
    <phoneticPr fontId="1" type="noConversion"/>
  </si>
  <si>
    <t>contactAmount</t>
    <phoneticPr fontId="1" type="noConversion"/>
  </si>
  <si>
    <t>合同金额</t>
    <phoneticPr fontId="1" type="noConversion"/>
  </si>
  <si>
    <t>payedAmount</t>
    <phoneticPr fontId="1" type="noConversion"/>
  </si>
  <si>
    <t>payed_amt</t>
    <phoneticPr fontId="1" type="noConversion"/>
  </si>
  <si>
    <t>pay_amt</t>
    <phoneticPr fontId="1" type="noConversion"/>
  </si>
  <si>
    <t>payAmount</t>
    <phoneticPr fontId="1" type="noConversion"/>
  </si>
  <si>
    <t>已付金额</t>
    <phoneticPr fontId="1" type="noConversion"/>
  </si>
  <si>
    <t>payed_inv_num</t>
    <phoneticPr fontId="1" type="noConversion"/>
  </si>
  <si>
    <t>payedInvoiceNum</t>
    <phoneticPr fontId="1" type="noConversion"/>
  </si>
  <si>
    <t>已开发票数量</t>
    <phoneticPr fontId="1" type="noConversion"/>
  </si>
  <si>
    <t>pay_desc</t>
    <phoneticPr fontId="1" type="noConversion"/>
  </si>
  <si>
    <t>payDesc</t>
    <phoneticPr fontId="1" type="noConversion"/>
  </si>
  <si>
    <t>付款说明</t>
    <phoneticPr fontId="1" type="noConversion"/>
  </si>
  <si>
    <t>rec_user</t>
    <phoneticPr fontId="1" type="noConversion"/>
  </si>
  <si>
    <t>receiveUser</t>
    <phoneticPr fontId="1" type="noConversion"/>
  </si>
  <si>
    <t>pay_inv_num</t>
    <phoneticPr fontId="1" type="noConversion"/>
  </si>
  <si>
    <t>payInvoiceNum</t>
    <phoneticPr fontId="1" type="noConversion"/>
  </si>
  <si>
    <t>此次单据数量</t>
    <phoneticPr fontId="1" type="noConversion"/>
  </si>
  <si>
    <t>发票附件</t>
    <phoneticPr fontId="1" type="noConversion"/>
  </si>
  <si>
    <t>其他附件</t>
    <phoneticPr fontId="1" type="noConversion"/>
  </si>
  <si>
    <t>@Column(name="project", columnDefinition="VARCHAR(128)")</t>
    <phoneticPr fontId="1" type="noConversion"/>
  </si>
  <si>
    <t>private int payInvoiceNum;</t>
    <phoneticPr fontId="1" type="noConversion"/>
  </si>
  <si>
    <t>private double payAmount;</t>
    <phoneticPr fontId="1" type="noConversion"/>
  </si>
  <si>
    <t>private String contactName;</t>
    <phoneticPr fontId="1" type="noConversion"/>
  </si>
  <si>
    <t>private String contactDesc;</t>
    <phoneticPr fontId="1" type="noConversion"/>
  </si>
  <si>
    <t>private String contactNo;</t>
    <phoneticPr fontId="1" type="noConversion"/>
  </si>
  <si>
    <t>private double contactAmount;</t>
    <phoneticPr fontId="1" type="noConversion"/>
  </si>
  <si>
    <t>private double payedAmount;</t>
    <phoneticPr fontId="1" type="noConversion"/>
  </si>
  <si>
    <t>@Column(name="pay_desc", columnDefinition="VARCHAR(128)")</t>
    <phoneticPr fontId="1" type="noConversion"/>
  </si>
  <si>
    <t>private String payDesc;</t>
    <phoneticPr fontId="1" type="noConversion"/>
  </si>
  <si>
    <t>@Column(name="rec_user", columnDefinition="VARCHAR(128)")</t>
    <phoneticPr fontId="1" type="noConversion"/>
  </si>
  <si>
    <t>private String receiveUser;</t>
    <phoneticPr fontId="1" type="noConversion"/>
  </si>
  <si>
    <t>@Column(name="pdf_file", columnDefinition="VARCHAR(128)")</t>
    <phoneticPr fontId="1" type="noConversion"/>
  </si>
  <si>
    <t>private String pdfFileList;</t>
    <phoneticPr fontId="1" type="noConversion"/>
  </si>
  <si>
    <t>@Column(name="other_file", columnDefinition="VARCHAR(128)")</t>
    <phoneticPr fontId="1" type="noConversion"/>
  </si>
  <si>
    <t>private String otherFileList;</t>
    <phoneticPr fontId="1" type="noConversion"/>
  </si>
  <si>
    <t>主管及负责人审批人，多人用逗号分隔</t>
    <phoneticPr fontId="1" type="noConversion"/>
  </si>
  <si>
    <t>款项支付单申请UI</t>
    <phoneticPr fontId="1" type="noConversion"/>
  </si>
  <si>
    <t>表单</t>
    <phoneticPr fontId="1" type="noConversion"/>
  </si>
  <si>
    <t>查询所有记录</t>
    <phoneticPr fontId="1" type="noConversion"/>
  </si>
  <si>
    <t>模糊搜索</t>
    <phoneticPr fontId="1" type="noConversion"/>
  </si>
  <si>
    <t xml:space="preserve">申请人 </t>
    <phoneticPr fontId="1" type="noConversion"/>
  </si>
  <si>
    <t xml:space="preserve">申请日期（起止日期） </t>
    <phoneticPr fontId="1" type="noConversion"/>
  </si>
  <si>
    <t xml:space="preserve">流程状态 </t>
    <phoneticPr fontId="1" type="noConversion"/>
  </si>
  <si>
    <t xml:space="preserve">审批编号 </t>
    <phoneticPr fontId="1" type="noConversion"/>
  </si>
  <si>
    <t xml:space="preserve">合同名称 </t>
    <phoneticPr fontId="1" type="noConversion"/>
  </si>
  <si>
    <t>@Column(name="id", columnDefinition="VARCHAR(128)")</t>
  </si>
  <si>
    <t>@Column(name="project", columnDefinition="VARCHAR(128)")</t>
  </si>
  <si>
    <t>@Column(name="rec_user", columnDefinition="VARCHAR(128)")</t>
  </si>
  <si>
    <t>@Column(name="rec_bank", columnDefinition="VARCHAR(128)")</t>
  </si>
  <si>
    <t>@Column(name="rec_account", columnDefinition="VARCHAR(128)")</t>
  </si>
  <si>
    <t>@Column(name="managers", columnDefinition="VARCHAR(128)")</t>
    <phoneticPr fontId="1" type="noConversion"/>
  </si>
  <si>
    <t>private String managers;</t>
    <phoneticPr fontId="1" type="noConversion"/>
  </si>
  <si>
    <t>form.setId(rs.getString("id"));</t>
    <phoneticPr fontId="1" type="noConversion"/>
  </si>
  <si>
    <t>form.setProject(rs.getString("project"));</t>
    <phoneticPr fontId="1" type="noConversion"/>
  </si>
  <si>
    <t>form.setManagers(rs.getString("managers"));</t>
    <phoneticPr fontId="1" type="noConversion"/>
  </si>
  <si>
    <t>private int payedInvoiceNum;</t>
    <phoneticPr fontId="1" type="noConversion"/>
  </si>
  <si>
    <t>form.setPayDesc(rs.getString("pay_desc"));</t>
    <phoneticPr fontId="1" type="noConversion"/>
  </si>
  <si>
    <t>form.setReceiveUser(rs.getString("rec_user"));</t>
    <phoneticPr fontId="1" type="noConversion"/>
  </si>
  <si>
    <t>form.setReceiveBank(rs.getString("rec_bank"));</t>
    <phoneticPr fontId="1" type="noConversion"/>
  </si>
  <si>
    <t>form.setReceiveAccount(rs.getString("rec_account"));</t>
    <phoneticPr fontId="1" type="noConversion"/>
  </si>
  <si>
    <t>form.setPdfFileList(rs.getString("pdf_file"));</t>
    <phoneticPr fontId="1" type="noConversion"/>
  </si>
  <si>
    <t>form.setOtherFileList(rs.getString("other_file"));</t>
    <phoneticPr fontId="1" type="noConversion"/>
  </si>
  <si>
    <t>contract_desc</t>
    <phoneticPr fontId="1" type="noConversion"/>
  </si>
  <si>
    <t>contract_name</t>
    <phoneticPr fontId="1" type="noConversion"/>
  </si>
  <si>
    <t>contract_no</t>
    <phoneticPr fontId="1" type="noConversion"/>
  </si>
  <si>
    <t>contract_amt</t>
    <phoneticPr fontId="1" type="noConversion"/>
  </si>
  <si>
    <t>借款单</t>
    <phoneticPr fontId="1" type="noConversion"/>
  </si>
  <si>
    <t>wf_loan</t>
    <phoneticPr fontId="1" type="noConversion"/>
  </si>
  <si>
    <t>Loan</t>
    <phoneticPr fontId="1" type="noConversion"/>
  </si>
  <si>
    <t>vch_num</t>
    <phoneticPr fontId="1" type="noConversion"/>
  </si>
  <si>
    <t>单据及附件数量</t>
    <phoneticPr fontId="1" type="noConversion"/>
  </si>
  <si>
    <t>借款部门id</t>
    <phoneticPr fontId="1" type="noConversion"/>
  </si>
  <si>
    <t>loan_amt</t>
    <phoneticPr fontId="1" type="noConversion"/>
  </si>
  <si>
    <t>loanAmount</t>
    <phoneticPr fontId="1" type="noConversion"/>
  </si>
  <si>
    <t>借款金额</t>
    <phoneticPr fontId="1" type="noConversion"/>
  </si>
  <si>
    <t>借款事由</t>
    <phoneticPr fontId="1" type="noConversion"/>
  </si>
  <si>
    <t>支付方式(转账，现金)</t>
    <phoneticPr fontId="1" type="noConversion"/>
  </si>
  <si>
    <t>@Column(name="dept_id", columnDefinition="VARCHAR(128)")</t>
  </si>
  <si>
    <t>form.setDeptId(rs.getString("dept_id"));</t>
    <phoneticPr fontId="1" type="noConversion"/>
  </si>
  <si>
    <t>@Column(name="dept_name", columnDefinition="VARCHAR(128)")</t>
  </si>
  <si>
    <t>form.setDeptName(rs.getString("dept_name"));</t>
    <phoneticPr fontId="1" type="noConversion"/>
  </si>
  <si>
    <t>@Column(name="reason_", columnDefinition="VARCHAR(128)")</t>
  </si>
  <si>
    <t>form.setReason(rs.getString("reason_"));</t>
    <phoneticPr fontId="1" type="noConversion"/>
  </si>
  <si>
    <t>@Column(name="pay_type", columnDefinition="VARCHAR(128)")</t>
  </si>
  <si>
    <t>form.setPayType(rs.getString("pay_type"));</t>
    <phoneticPr fontId="1" type="noConversion"/>
  </si>
  <si>
    <t>@Column(name="vch_num", columnDefinition="TINYINT")</t>
  </si>
  <si>
    <t>form.setVoucherNum(rs.getInt("vch_num"));</t>
    <phoneticPr fontId="1" type="noConversion"/>
  </si>
  <si>
    <t>private int voucherNum;</t>
    <phoneticPr fontId="1" type="noConversion"/>
  </si>
  <si>
    <t>private String deptId;</t>
    <phoneticPr fontId="1" type="noConversion"/>
  </si>
  <si>
    <t>private String deptName;</t>
    <phoneticPr fontId="1" type="noConversion"/>
  </si>
  <si>
    <t>@Column(name="loan_amt", columnDefinition="DECIMAL(10,2)")</t>
  </si>
  <si>
    <t>form.setLoanAmount(rs.getDouble("loan_amt"));</t>
    <phoneticPr fontId="1" type="noConversion"/>
  </si>
  <si>
    <t>private double loanAmount;</t>
    <phoneticPr fontId="1" type="noConversion"/>
  </si>
  <si>
    <t>wf_inv</t>
    <phoneticPr fontId="1" type="noConversion"/>
  </si>
  <si>
    <t>开票申请单</t>
    <phoneticPr fontId="1" type="noConversion"/>
  </si>
  <si>
    <t>InvoiceApply</t>
    <phoneticPr fontId="1" type="noConversion"/>
  </si>
  <si>
    <t>contractNo</t>
    <phoneticPr fontId="1" type="noConversion"/>
  </si>
  <si>
    <t>contractName</t>
    <phoneticPr fontId="1" type="noConversion"/>
  </si>
  <si>
    <t>审批人</t>
    <phoneticPr fontId="1" type="noConversion"/>
  </si>
  <si>
    <t>@Column(name="contract_no", columnDefinition="VARCHAR(128)")</t>
    <phoneticPr fontId="1" type="noConversion"/>
  </si>
  <si>
    <t>form.setContractNo(rs.getString("contract_no"));</t>
    <phoneticPr fontId="1" type="noConversion"/>
  </si>
  <si>
    <t>private String contractNo;</t>
    <phoneticPr fontId="1" type="noConversion"/>
  </si>
  <si>
    <t>@Column(name="contract_name", columnDefinition="VARCHAR(128)")</t>
    <phoneticPr fontId="1" type="noConversion"/>
  </si>
  <si>
    <t>form.setContractName(rs.getString("contract_name"));</t>
    <phoneticPr fontId="1" type="noConversion"/>
  </si>
  <si>
    <t>private String contractName;</t>
    <phoneticPr fontId="1" type="noConversion"/>
  </si>
  <si>
    <t>form.setRemark(rs.getString("remark"));</t>
    <phoneticPr fontId="1" type="noConversion"/>
  </si>
  <si>
    <t>客户名称</t>
    <phoneticPr fontId="1" type="noConversion"/>
  </si>
  <si>
    <t>发票类型:专票，普票</t>
    <phoneticPr fontId="1" type="noConversion"/>
  </si>
  <si>
    <t>inv_amt</t>
    <phoneticPr fontId="1" type="noConversion"/>
  </si>
  <si>
    <t>invoiceAmount</t>
    <phoneticPr fontId="1" type="noConversion"/>
  </si>
  <si>
    <t>开票金额</t>
    <phoneticPr fontId="1" type="noConversion"/>
  </si>
  <si>
    <t>开票信息：地址</t>
    <phoneticPr fontId="1" type="noConversion"/>
  </si>
  <si>
    <t>tax_no</t>
    <phoneticPr fontId="1" type="noConversion"/>
  </si>
  <si>
    <t>税号</t>
    <phoneticPr fontId="1" type="noConversion"/>
  </si>
  <si>
    <t>taxNo</t>
    <phoneticPr fontId="1" type="noConversion"/>
  </si>
  <si>
    <t>tel_no</t>
    <phoneticPr fontId="1" type="noConversion"/>
  </si>
  <si>
    <t>telephoneNo</t>
    <phoneticPr fontId="1" type="noConversion"/>
  </si>
  <si>
    <t>电话</t>
    <phoneticPr fontId="1" type="noConversion"/>
  </si>
  <si>
    <t>银行账号</t>
    <phoneticPr fontId="1" type="noConversion"/>
  </si>
  <si>
    <t>form.setInvoiceType(rs.getString("inv_type"));</t>
    <phoneticPr fontId="1" type="noConversion"/>
  </si>
  <si>
    <t>form.setAccount(rs.getString("account"));</t>
    <phoneticPr fontId="1" type="noConversion"/>
  </si>
  <si>
    <t>@Column(name="inv_amt", columnDefinition="DECIMAL(10,2)")</t>
    <phoneticPr fontId="1" type="noConversion"/>
  </si>
  <si>
    <t>form.setInvoiceAmount(rs.getDouble("inv_amt"));</t>
    <phoneticPr fontId="1" type="noConversion"/>
  </si>
  <si>
    <t>private double invoiceAmount;</t>
    <phoneticPr fontId="1" type="noConversion"/>
  </si>
  <si>
    <t>@Column(name="address", columnDefinition="VARCHAR(128)")</t>
    <phoneticPr fontId="1" type="noConversion"/>
  </si>
  <si>
    <t>form.setAddress(rs.getString("address"));</t>
    <phoneticPr fontId="1" type="noConversion"/>
  </si>
  <si>
    <t>private String address;</t>
    <phoneticPr fontId="1" type="noConversion"/>
  </si>
  <si>
    <t>@Column(name="tax_no", columnDefinition="VARCHAR(128)")</t>
    <phoneticPr fontId="1" type="noConversion"/>
  </si>
  <si>
    <t>form.setTaxNo(rs.getString("tax_no"));</t>
    <phoneticPr fontId="1" type="noConversion"/>
  </si>
  <si>
    <t>private String taxNo;</t>
    <phoneticPr fontId="1" type="noConversion"/>
  </si>
  <si>
    <t>@Column(name="tel_no", columnDefinition="VARCHAR(128)")</t>
    <phoneticPr fontId="1" type="noConversion"/>
  </si>
  <si>
    <t>form.setTelephoneNo(rs.getString("tel_no"));</t>
    <phoneticPr fontId="1" type="noConversion"/>
  </si>
  <si>
    <t>private String telephoneNo;</t>
    <phoneticPr fontId="1" type="noConversion"/>
  </si>
  <si>
    <t>@Column(name="bank", columnDefinition="VARCHAR(128)")</t>
    <phoneticPr fontId="1" type="noConversion"/>
  </si>
  <si>
    <t>form.setBank(rs.getString("bank"));</t>
    <phoneticPr fontId="1" type="noConversion"/>
  </si>
  <si>
    <t>private String bank;</t>
    <phoneticPr fontId="1" type="noConversion"/>
  </si>
  <si>
    <t>@Column(name="account", columnDefinition="VARCHAR(128)")</t>
    <phoneticPr fontId="1" type="noConversion"/>
  </si>
  <si>
    <t>private String account;</t>
    <phoneticPr fontId="1" type="noConversion"/>
  </si>
  <si>
    <t>client_id</t>
    <phoneticPr fontId="1" type="noConversion"/>
  </si>
  <si>
    <t>客户id</t>
    <phoneticPr fontId="1" type="noConversion"/>
  </si>
  <si>
    <t>client_name</t>
    <phoneticPr fontId="1" type="noConversion"/>
  </si>
  <si>
    <t>@Column(name="client_id", columnDefinition="VARCHAR(128)")</t>
    <phoneticPr fontId="1" type="noConversion"/>
  </si>
  <si>
    <t>@Column(name="client_name", columnDefinition="VARCHAR(128)")</t>
    <phoneticPr fontId="1" type="noConversion"/>
  </si>
  <si>
    <t>clientId</t>
    <phoneticPr fontId="1" type="noConversion"/>
  </si>
  <si>
    <t>clientName</t>
    <phoneticPr fontId="1" type="noConversion"/>
  </si>
  <si>
    <t>form.setClientId(rs.getString("client_id"));</t>
    <phoneticPr fontId="1" type="noConversion"/>
  </si>
  <si>
    <t>private String clientId;</t>
    <phoneticPr fontId="1" type="noConversion"/>
  </si>
  <si>
    <t>form.setClientName(rs.getString("client_name"));</t>
    <phoneticPr fontId="1" type="noConversion"/>
  </si>
  <si>
    <t>private String clientName;</t>
    <phoneticPr fontId="1" type="noConversion"/>
  </si>
  <si>
    <t>contractAmount</t>
    <phoneticPr fontId="1" type="noConversion"/>
  </si>
  <si>
    <t>private Double contractAmount;</t>
    <phoneticPr fontId="1" type="noConversion"/>
  </si>
  <si>
    <t>选择审批人</t>
    <phoneticPr fontId="1" type="noConversion"/>
  </si>
  <si>
    <t>SELECT_USER_TYPE_ALL</t>
    <phoneticPr fontId="1" type="noConversion"/>
  </si>
  <si>
    <t>所有人</t>
    <phoneticPr fontId="1" type="noConversion"/>
  </si>
  <si>
    <t>开始日期,结束日期</t>
    <phoneticPr fontId="1" type="noConversion"/>
  </si>
  <si>
    <t>table</t>
    <phoneticPr fontId="1" type="noConversion"/>
  </si>
  <si>
    <t>申请部门</t>
    <phoneticPr fontId="1" type="noConversion"/>
  </si>
  <si>
    <t>发票类型</t>
    <phoneticPr fontId="1" type="noConversion"/>
  </si>
  <si>
    <t>申请部门id</t>
    <phoneticPr fontId="1" type="noConversion"/>
  </si>
  <si>
    <t>createUserid</t>
    <phoneticPr fontId="1" type="noConversion"/>
  </si>
  <si>
    <t>table-col</t>
    <phoneticPr fontId="1" type="noConversion"/>
  </si>
  <si>
    <t>form.setContractAmount</t>
    <phoneticPr fontId="1" type="noConversion"/>
  </si>
  <si>
    <t>@Column(name="dept_id", columnDefinition="VARCHAR(128)")</t>
    <phoneticPr fontId="1" type="noConversion"/>
  </si>
  <si>
    <t>@Column(name="dept_name", columnDefinition="VARCHAR(128)")</t>
    <phoneticPr fontId="1" type="noConversion"/>
  </si>
  <si>
    <t>&lt;el-table-column prop="id" label=""  min-width="100"&gt; &lt;/el-table-column&gt;</t>
    <phoneticPr fontId="1" type="noConversion"/>
  </si>
  <si>
    <t>&lt;el-table-column prop="clientId" label="客户id"  min-width="100"&gt; &lt;/el-table-column&gt;</t>
    <phoneticPr fontId="1" type="noConversion"/>
  </si>
  <si>
    <t>&lt;el-table-column prop="clientName" label="客户名称"  min-width="100"&gt; &lt;/el-table-column&gt;</t>
    <phoneticPr fontId="1" type="noConversion"/>
  </si>
  <si>
    <t>&lt;el-table-column prop="invoiceType" label="发票类型:专票，普票"  min-width="100"&gt; &lt;/el-table-column&gt;</t>
    <phoneticPr fontId="1" type="noConversion"/>
  </si>
  <si>
    <t>&lt;el-table-column prop="contractAmount" label="合同金额"  min-width="100"&gt; &lt;/el-table-column&gt;</t>
    <phoneticPr fontId="1" type="noConversion"/>
  </si>
  <si>
    <t>&lt;el-table-column prop="contractNo" label="合同编号"  min-width="100"&gt; &lt;/el-table-column&gt;</t>
    <phoneticPr fontId="1" type="noConversion"/>
  </si>
  <si>
    <t>&lt;el-table-column prop="contractName" label="合同名称"  min-width="100"&gt; &lt;/el-table-column&gt;</t>
    <phoneticPr fontId="1" type="noConversion"/>
  </si>
  <si>
    <t>&lt;el-table-column prop="project" label="项目名称"  min-width="100"&gt; &lt;/el-table-column&gt;</t>
    <phoneticPr fontId="1" type="noConversion"/>
  </si>
  <si>
    <t>&lt;el-table-column prop="invoiceAmount" label="开票金额"  min-width="100"&gt; &lt;/el-table-column&gt;</t>
    <phoneticPr fontId="1" type="noConversion"/>
  </si>
  <si>
    <t>&lt;el-table-column prop="address" label="开票信息：地址"  min-width="100"&gt; &lt;/el-table-column&gt;</t>
    <phoneticPr fontId="1" type="noConversion"/>
  </si>
  <si>
    <t>&lt;el-table-column prop="taxNo" label="税号"  min-width="100"&gt; &lt;/el-table-column&gt;</t>
    <phoneticPr fontId="1" type="noConversion"/>
  </si>
  <si>
    <t>&lt;el-table-column prop="telephoneNo" label="电话"  min-width="100"&gt; &lt;/el-table-column&gt;</t>
    <phoneticPr fontId="1" type="noConversion"/>
  </si>
  <si>
    <t>&lt;el-table-column prop="bank" label="开户行"  min-width="100"&gt; &lt;/el-table-column&gt;</t>
    <phoneticPr fontId="1" type="noConversion"/>
  </si>
  <si>
    <t>&lt;el-table-column prop="account" label="银行账号"  min-width="100"&gt; &lt;/el-table-column&gt;</t>
    <phoneticPr fontId="1" type="noConversion"/>
  </si>
  <si>
    <t>&lt;el-table-column prop="managers" label="审批人"  min-width="100"&gt; &lt;/el-table-column&gt;</t>
    <phoneticPr fontId="1" type="noConversion"/>
  </si>
  <si>
    <t>&lt;el-table-column prop="remark" label="备注"  min-width="100"&gt; &lt;/el-table-column&gt;</t>
    <phoneticPr fontId="1" type="noConversion"/>
  </si>
  <si>
    <t>&lt;el-table-column prop="deptId" label="申请部门id"  min-width="100"&gt; &lt;/el-table-column&gt;</t>
    <phoneticPr fontId="1" type="noConversion"/>
  </si>
  <si>
    <t>&lt;el-table-column prop="deptName" label="申请部门"  min-width="100"&gt; &lt;/el-table-column&gt;</t>
    <phoneticPr fontId="1" type="noConversion"/>
  </si>
  <si>
    <t>form-item</t>
    <phoneticPr fontId="1" type="noConversion"/>
  </si>
  <si>
    <t>&lt;el-form-item label="" prop="id" required &gt;&lt;/el-form-item&gt;</t>
    <phoneticPr fontId="1" type="noConversion"/>
  </si>
  <si>
    <t>&lt;el-form-item label="客户id" prop="clientId" required &gt;&lt;/el-form-item&gt;</t>
  </si>
  <si>
    <t>&lt;el-form-item label="客户名称" prop="clientName" required &gt;&lt;/el-form-item&gt;</t>
  </si>
  <si>
    <t>&lt;el-form-item label="发票类型:专票，普票" prop="invoiceType" required &gt;&lt;/el-form-item&gt;</t>
  </si>
  <si>
    <t>&lt;el-form-item label="合同金额" prop="contractAmount" required &gt;&lt;/el-form-item&gt;</t>
  </si>
  <si>
    <t>&lt;el-form-item label="合同编号" prop="contractNo" required &gt;&lt;/el-form-item&gt;</t>
  </si>
  <si>
    <t>&lt;el-form-item label="合同名称" prop="contractName" required &gt;&lt;/el-form-item&gt;</t>
  </si>
  <si>
    <t>&lt;el-form-item label="项目名称" prop="project" required &gt;&lt;/el-form-item&gt;</t>
  </si>
  <si>
    <t>&lt;el-form-item label="开票金额" prop="invoiceAmount" required &gt;&lt;/el-form-item&gt;</t>
  </si>
  <si>
    <t>&lt;el-form-item label="开票信息：地址" prop="address" required &gt;&lt;/el-form-item&gt;</t>
  </si>
  <si>
    <t>&lt;el-form-item label="税号" prop="taxNo" required &gt;&lt;/el-form-item&gt;</t>
  </si>
  <si>
    <t>&lt;el-form-item label="电话" prop="telephoneNo" required &gt;&lt;/el-form-item&gt;</t>
  </si>
  <si>
    <t>&lt;el-form-item label="开户行" prop="bank" required &gt;&lt;/el-form-item&gt;</t>
  </si>
  <si>
    <t>&lt;el-form-item label="银行账号" prop="account" required &gt;&lt;/el-form-item&gt;</t>
  </si>
  <si>
    <t>&lt;el-form-item label="审批人" prop="managers" required &gt;&lt;/el-form-item&gt;</t>
  </si>
  <si>
    <t>&lt;el-form-item label="备注" prop="remark" required &gt;&lt;/el-form-item&gt;</t>
  </si>
  <si>
    <t>&lt;el-form-item label="申请部门id" prop="deptId" required &gt;&lt;/el-form-item&gt;</t>
  </si>
  <si>
    <t>&lt;el-form-item label="申请部门" prop="deptName" required &gt;&lt;/el-form-item&gt;</t>
  </si>
  <si>
    <t>@Column(name="pay_inv_num", columnDefinition="TINYINT")</t>
    <phoneticPr fontId="1" type="noConversion"/>
  </si>
  <si>
    <t>form.setPayInvoiceNum(rs.getInt("pay_inv_num"));</t>
    <phoneticPr fontId="1" type="noConversion"/>
  </si>
  <si>
    <t>@Column(name="pay_amt", columnDefinition="DECIMAL(10,2)")</t>
    <phoneticPr fontId="1" type="noConversion"/>
  </si>
  <si>
    <t>form.setPayAmount(rs.getDouble("pay_amt"));</t>
    <phoneticPr fontId="1" type="noConversion"/>
  </si>
  <si>
    <t>form.setContactName(rs.getString("contract_name"));</t>
    <phoneticPr fontId="1" type="noConversion"/>
  </si>
  <si>
    <t>@Column(name="contract_desc", columnDefinition="VARCHAR(128)")</t>
    <phoneticPr fontId="1" type="noConversion"/>
  </si>
  <si>
    <t>form.setContactDesc(rs.getString("contract_desc"));</t>
    <phoneticPr fontId="1" type="noConversion"/>
  </si>
  <si>
    <t>form.setContactNo(rs.getString("contract_no"));</t>
    <phoneticPr fontId="1" type="noConversion"/>
  </si>
  <si>
    <t>@Column(name="contract_amt", columnDefinition="DECIMAL(10,2)")</t>
    <phoneticPr fontId="1" type="noConversion"/>
  </si>
  <si>
    <t>form.setContactAmount(rs.getDouble("contract_amt"));</t>
    <phoneticPr fontId="1" type="noConversion"/>
  </si>
  <si>
    <t>@Column(name="payed_amt", columnDefinition="DECIMAL(10,2)")</t>
    <phoneticPr fontId="1" type="noConversion"/>
  </si>
  <si>
    <t>form.setPayedAmount(rs.getDouble("payed_amt"));</t>
    <phoneticPr fontId="1" type="noConversion"/>
  </si>
  <si>
    <t>@Column(name="payed_inv_num", columnDefinition="TINYINT")</t>
    <phoneticPr fontId="1" type="noConversion"/>
  </si>
  <si>
    <t>form.setPayedInvoiceNum(rs.getInt("payed_inv_num"));</t>
    <phoneticPr fontId="1" type="noConversion"/>
  </si>
  <si>
    <t>&lt;el-table-column sortable show-overflow-tooltip prop="id" label=""  min-width="100"&gt; &lt;/el-table-column&gt;</t>
    <phoneticPr fontId="1" type="noConversion"/>
  </si>
  <si>
    <t>&lt;el-form-item sortable label="" prop="id" required &gt;&lt;/el-form-item&gt;</t>
    <phoneticPr fontId="1" type="noConversion"/>
  </si>
  <si>
    <t>&lt;el-table-column sortable show-overflow-tooltip prop="project" label="项目名称"  min-width="100"&gt; &lt;/el-table-column&gt;</t>
    <phoneticPr fontId="1" type="noConversion"/>
  </si>
  <si>
    <t>&lt;el-form-item sortable label="项目名称" prop="project" required &gt;&lt;/el-form-item&gt;</t>
    <phoneticPr fontId="1" type="noConversion"/>
  </si>
  <si>
    <t>&lt;el-table-column sortable show-overflow-tooltip prop="payInvoiceNum" label="此次单据数量"  min-width="100"&gt; &lt;/el-table-column&gt;</t>
    <phoneticPr fontId="1" type="noConversion"/>
  </si>
  <si>
    <t>&lt;el-form-item sortable label="此次单据数量" prop="payInvoiceNum" required &gt;&lt;/el-form-item&gt;</t>
    <phoneticPr fontId="1" type="noConversion"/>
  </si>
  <si>
    <t>&lt;el-table-column sortable show-overflow-tooltip prop="payAmount" label="付款金额"  min-width="100"&gt; &lt;/el-table-column&gt;</t>
    <phoneticPr fontId="1" type="noConversion"/>
  </si>
  <si>
    <t>&lt;el-form-item sortable label="付款金额" prop="payAmount" required &gt;&lt;/el-form-item&gt;</t>
    <phoneticPr fontId="1" type="noConversion"/>
  </si>
  <si>
    <t>&lt;el-table-column sortable show-overflow-tooltip prop="contactName" label="合同名称"  min-width="100"&gt; &lt;/el-table-column&gt;</t>
    <phoneticPr fontId="1" type="noConversion"/>
  </si>
  <si>
    <t>&lt;el-form-item sortable label="合同名称" prop="contactName" required &gt;&lt;/el-form-item&gt;</t>
    <phoneticPr fontId="1" type="noConversion"/>
  </si>
  <si>
    <t>&lt;el-table-column sortable show-overflow-tooltip prop="contactDesc" label="合同内容"  min-width="100"&gt; &lt;/el-table-column&gt;</t>
    <phoneticPr fontId="1" type="noConversion"/>
  </si>
  <si>
    <t>&lt;el-form-item sortable label="合同内容" prop="contactDesc" required &gt;&lt;/el-form-item&gt;</t>
    <phoneticPr fontId="1" type="noConversion"/>
  </si>
  <si>
    <t>&lt;el-table-column sortable show-overflow-tooltip prop="contactNo" label="合同编号"  min-width="100"&gt; &lt;/el-table-column&gt;</t>
    <phoneticPr fontId="1" type="noConversion"/>
  </si>
  <si>
    <t>&lt;el-form-item sortable label="合同编号" prop="contactNo" required &gt;&lt;/el-form-item&gt;</t>
    <phoneticPr fontId="1" type="noConversion"/>
  </si>
  <si>
    <t>&lt;el-table-column sortable show-overflow-tooltip prop="contactAmount" label="合同金额"  min-width="100"&gt; &lt;/el-table-column&gt;</t>
    <phoneticPr fontId="1" type="noConversion"/>
  </si>
  <si>
    <t>&lt;el-form-item sortable label="合同金额" prop="contactAmount" required &gt;&lt;/el-form-item&gt;</t>
    <phoneticPr fontId="1" type="noConversion"/>
  </si>
  <si>
    <t>&lt;el-table-column sortable show-overflow-tooltip prop="payedAmount" label="已付金额"  min-width="100"&gt; &lt;/el-table-column&gt;</t>
    <phoneticPr fontId="1" type="noConversion"/>
  </si>
  <si>
    <t>&lt;el-form-item sortable label="已付金额" prop="payedAmount" required &gt;&lt;/el-form-item&gt;</t>
    <phoneticPr fontId="1" type="noConversion"/>
  </si>
  <si>
    <t>&lt;el-table-column sortable show-overflow-tooltip prop="payedInvoiceNum" label="已开发票数量"  min-width="100"&gt; &lt;/el-table-column&gt;</t>
    <phoneticPr fontId="1" type="noConversion"/>
  </si>
  <si>
    <t>&lt;el-form-item sortable label="已开发票数量" prop="payedInvoiceNum" required &gt;&lt;/el-form-item&gt;</t>
    <phoneticPr fontId="1" type="noConversion"/>
  </si>
  <si>
    <t>&lt;el-table-column sortable show-overflow-tooltip prop="payDesc" label="付款说明"  min-width="100"&gt; &lt;/el-table-column&gt;</t>
    <phoneticPr fontId="1" type="noConversion"/>
  </si>
  <si>
    <t>&lt;el-form-item sortable label="付款说明" prop="payDesc" required &gt;&lt;/el-form-item&gt;</t>
    <phoneticPr fontId="1" type="noConversion"/>
  </si>
  <si>
    <t>&lt;el-table-column sortable show-overflow-tooltip prop="receiveUser" label="收款人"  min-width="100"&gt; &lt;/el-table-column&gt;</t>
    <phoneticPr fontId="1" type="noConversion"/>
  </si>
  <si>
    <t>&lt;el-form-item sortable label="收款人" prop="receiveUser" required &gt;&lt;/el-form-item&gt;</t>
    <phoneticPr fontId="1" type="noConversion"/>
  </si>
  <si>
    <t>&lt;el-table-column sortable show-overflow-tooltip prop="receiveBank" label="开户行"  min-width="100"&gt; &lt;/el-table-column&gt;</t>
    <phoneticPr fontId="1" type="noConversion"/>
  </si>
  <si>
    <t>&lt;el-form-item sortable label="开户行" prop="receiveBank" required &gt;&lt;/el-form-item&gt;</t>
    <phoneticPr fontId="1" type="noConversion"/>
  </si>
  <si>
    <t>&lt;el-table-column sortable show-overflow-tooltip prop="receiveAccount" label="账号"  min-width="100"&gt; &lt;/el-table-column&gt;</t>
    <phoneticPr fontId="1" type="noConversion"/>
  </si>
  <si>
    <t>&lt;el-form-item sortable label="账号" prop="receiveAccount" required &gt;&lt;/el-form-item&gt;</t>
    <phoneticPr fontId="1" type="noConversion"/>
  </si>
  <si>
    <t>&lt;el-table-column sortable show-overflow-tooltip prop="pdfFileList" label="发票附件"  min-width="100"&gt; &lt;/el-table-column&gt;</t>
    <phoneticPr fontId="1" type="noConversion"/>
  </si>
  <si>
    <t>&lt;el-form-item sortable label="发票附件" prop="pdfFileList" required &gt;&lt;/el-form-item&gt;</t>
    <phoneticPr fontId="1" type="noConversion"/>
  </si>
  <si>
    <t>&lt;el-table-column sortable show-overflow-tooltip prop="otherFileList" label="其他附件"  min-width="100"&gt; &lt;/el-table-column&gt;</t>
    <phoneticPr fontId="1" type="noConversion"/>
  </si>
  <si>
    <t>&lt;el-form-item sortable label="其他附件" prop="otherFileList" required &gt;&lt;/el-form-item&gt;</t>
    <phoneticPr fontId="1" type="noConversion"/>
  </si>
  <si>
    <t>&lt;el-table-column sortable show-overflow-tooltip prop="managers" label="主管及负责人审批人，多人用逗号分隔"  min-width="100"&gt; &lt;/el-table-column&gt;</t>
    <phoneticPr fontId="1" type="noConversion"/>
  </si>
  <si>
    <t>&lt;el-form-item sortable label="主管及负责人审批人，多人用逗号分隔" prop="managers" required &gt;&lt;/el-form-item&gt;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</si>
</sst>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6" xfId="0" applyBorder="1"/>
    <xf numFmtId="14" fontId="0" fillId="0" borderId="6" xfId="0" applyNumberFormat="1" applyBorder="1"/>
    <xf numFmtId="0" fontId="2" fillId="0" borderId="6" xfId="0" applyFont="1" applyBorder="1" applyAlignment="1">
      <alignment vertical="center"/>
    </xf>
    <xf numFmtId="49" fontId="2" fillId="0" borderId="0" xfId="0" applyNumberFormat="1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6</xdr:col>
      <xdr:colOff>1008336</xdr:colOff>
      <xdr:row>55</xdr:row>
      <xdr:rowOff>113652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86325"/>
          <a:ext cx="10514286" cy="51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6</xdr:col>
      <xdr:colOff>2465977</xdr:colOff>
      <xdr:row>45</xdr:row>
      <xdr:rowOff>94740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52900"/>
          <a:ext cx="7980952" cy="4076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1162050</xdr:colOff>
          <xdr:row>22</xdr:row>
          <xdr:rowOff>95250</xdr:rowOff>
        </xdr:from>
        <xdr:to>
          <xdr:col>10</xdr:col>
          <xdr:colOff>657225</xdr:colOff>
          <xdr:row>25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16</xdr:row>
      <xdr:rowOff>152400</xdr:rowOff>
    </xdr:from>
    <xdr:to>
      <xdr:col>6</xdr:col>
      <xdr:colOff>2608792</xdr:colOff>
      <xdr:row>36</xdr:row>
      <xdr:rowOff>180519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3048000"/>
          <a:ext cx="8466667" cy="36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114301</xdr:rowOff>
    </xdr:from>
    <xdr:to>
      <xdr:col>3</xdr:col>
      <xdr:colOff>2533650</xdr:colOff>
      <xdr:row>43</xdr:row>
      <xdr:rowOff>46663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57701"/>
          <a:ext cx="5781675" cy="35518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171450</xdr:rowOff>
        </xdr:from>
        <xdr:to>
          <xdr:col>14</xdr:col>
          <xdr:colOff>323850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3"/>
  <sheetViews>
    <sheetView workbookViewId="0">
      <selection activeCell="D13" sqref="D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 ht="17.25" customHeight="1">
      <c r="A1" s="2" t="s">
        <v>187</v>
      </c>
      <c r="B1" s="2"/>
      <c r="C1" s="2"/>
    </row>
    <row r="2" spans="1:6" s="2" customFormat="1" ht="17.25" customHeigh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 ht="17.25" customHeight="1">
      <c r="A3" s="16" t="s">
        <v>201</v>
      </c>
      <c r="B3" s="14" t="s">
        <v>196</v>
      </c>
      <c r="C3" t="s">
        <v>204</v>
      </c>
      <c r="D3">
        <v>0</v>
      </c>
      <c r="E3" t="s">
        <v>190</v>
      </c>
      <c r="F3" t="s">
        <v>72</v>
      </c>
    </row>
    <row r="4" spans="1:6" ht="17.25" customHeight="1">
      <c r="A4" s="26" t="s">
        <v>202</v>
      </c>
      <c r="B4" s="27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 ht="17.25" customHeight="1">
      <c r="A5" s="26"/>
      <c r="B5" s="27"/>
      <c r="C5" t="s">
        <v>218</v>
      </c>
      <c r="D5" t="s">
        <v>216</v>
      </c>
      <c r="E5" t="s">
        <v>219</v>
      </c>
      <c r="F5" t="s">
        <v>70</v>
      </c>
    </row>
    <row r="6" spans="1:6" ht="17.25" customHeight="1">
      <c r="A6" s="26"/>
      <c r="B6" s="27"/>
      <c r="C6" t="s">
        <v>205</v>
      </c>
      <c r="D6" t="s">
        <v>206</v>
      </c>
      <c r="E6" t="s">
        <v>221</v>
      </c>
      <c r="F6" t="s">
        <v>70</v>
      </c>
    </row>
    <row r="7" spans="1:6" ht="17.25" customHeight="1">
      <c r="A7" s="26" t="s">
        <v>203</v>
      </c>
      <c r="B7" s="27" t="s">
        <v>198</v>
      </c>
      <c r="C7" t="s">
        <v>193</v>
      </c>
      <c r="D7">
        <v>0</v>
      </c>
      <c r="E7" t="s">
        <v>199</v>
      </c>
      <c r="F7" t="s">
        <v>72</v>
      </c>
    </row>
    <row r="8" spans="1:6" ht="17.25" customHeight="1">
      <c r="A8" s="26"/>
      <c r="B8" s="27"/>
      <c r="C8" t="s">
        <v>207</v>
      </c>
      <c r="D8">
        <v>1</v>
      </c>
      <c r="E8" t="s">
        <v>200</v>
      </c>
      <c r="F8" t="s">
        <v>72</v>
      </c>
    </row>
    <row r="9" spans="1:6" ht="17.25" customHeight="1">
      <c r="A9" s="26"/>
      <c r="B9" s="27"/>
      <c r="C9" t="s">
        <v>669</v>
      </c>
      <c r="D9">
        <v>2</v>
      </c>
      <c r="E9" t="s">
        <v>670</v>
      </c>
      <c r="F9" t="s">
        <v>72</v>
      </c>
    </row>
    <row r="10" spans="1:6" ht="17.25" customHeight="1">
      <c r="A10" s="28" t="s">
        <v>276</v>
      </c>
      <c r="B10" s="27" t="s">
        <v>278</v>
      </c>
      <c r="C10" t="s">
        <v>281</v>
      </c>
      <c r="D10" t="s">
        <v>282</v>
      </c>
      <c r="E10" t="s">
        <v>282</v>
      </c>
      <c r="F10" t="s">
        <v>70</v>
      </c>
    </row>
    <row r="11" spans="1:6" ht="17.25" customHeight="1">
      <c r="A11" s="28"/>
      <c r="B11" s="27"/>
      <c r="C11" t="s">
        <v>279</v>
      </c>
      <c r="D11" t="s">
        <v>280</v>
      </c>
      <c r="E11" t="s">
        <v>280</v>
      </c>
      <c r="F11" t="s">
        <v>70</v>
      </c>
    </row>
    <row r="12" spans="1:6" ht="17.25" customHeight="1">
      <c r="A12" s="28"/>
      <c r="B12" s="27"/>
      <c r="C12" t="s">
        <v>283</v>
      </c>
      <c r="D12" t="s">
        <v>284</v>
      </c>
      <c r="E12" t="s">
        <v>284</v>
      </c>
      <c r="F12" t="s">
        <v>70</v>
      </c>
    </row>
    <row r="13" spans="1:6" ht="17.25" customHeight="1">
      <c r="A13" s="28"/>
      <c r="B13" s="27"/>
      <c r="C13" t="s">
        <v>286</v>
      </c>
      <c r="D13" t="s">
        <v>285</v>
      </c>
      <c r="E13" t="s">
        <v>285</v>
      </c>
      <c r="F13" t="s">
        <v>70</v>
      </c>
    </row>
  </sheetData>
  <mergeCells count="6">
    <mergeCell ref="A4:A6"/>
    <mergeCell ref="B4:B6"/>
    <mergeCell ref="B7:B9"/>
    <mergeCell ref="A7:A9"/>
    <mergeCell ref="A10:A13"/>
    <mergeCell ref="B10:B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6"/>
  <sheetViews>
    <sheetView workbookViewId="0">
      <selection activeCell="K15" sqref="K15"/>
    </sheetView>
  </sheetViews>
  <sheetFormatPr defaultRowHeight="14.25"/>
  <cols>
    <col min="1" max="1" width="16.75" style="2" bestFit="1" customWidth="1"/>
    <col min="2" max="2" width="13.625" customWidth="1"/>
    <col min="3" max="3" width="33" customWidth="1"/>
    <col min="4" max="4" width="18.875" bestFit="1" customWidth="1"/>
    <col min="5" max="5" width="18.875" customWidth="1"/>
    <col min="7" max="7" width="9" customWidth="1"/>
    <col min="8" max="8" width="17.75" customWidth="1"/>
    <col min="9" max="9" width="33" bestFit="1" customWidth="1"/>
    <col min="10" max="10" width="9" customWidth="1"/>
    <col min="11" max="11" width="23.375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C3" s="2" t="s">
        <v>30</v>
      </c>
      <c r="D3" s="2" t="s">
        <v>127</v>
      </c>
      <c r="E3" s="2" t="s">
        <v>33</v>
      </c>
      <c r="F3" s="2" t="s">
        <v>66</v>
      </c>
      <c r="G3" s="2" t="s">
        <v>53</v>
      </c>
      <c r="I3" s="2" t="s">
        <v>128</v>
      </c>
      <c r="L3" s="2" t="s">
        <v>140</v>
      </c>
    </row>
    <row r="4" spans="1:12" s="6" customFormat="1">
      <c r="A4" s="4" t="s">
        <v>118</v>
      </c>
      <c r="B4" s="5" t="str">
        <f>_xlfn.CONCAT("(""", A4, """)")</f>
        <v>("id")</v>
      </c>
      <c r="C4" s="6" t="s">
        <v>32</v>
      </c>
      <c r="D4" s="6" t="s">
        <v>8</v>
      </c>
      <c r="E4" s="6" t="s">
        <v>52</v>
      </c>
      <c r="F4" s="6" t="s">
        <v>70</v>
      </c>
      <c r="G4" s="6" t="s">
        <v>54</v>
      </c>
      <c r="H4" s="6" t="str">
        <f>UPPER(LEFT(D4,1))&amp;MID(D4,2,LEN(D4)-1)</f>
        <v>Id</v>
      </c>
      <c r="I4" s="6" t="str">
        <f>"rs.get"&amp;UPPER(LEFT(F4,1))&amp;MID(F4,2,LEN(F4)-1)&amp;B4</f>
        <v>rs.getString("id")</v>
      </c>
      <c r="J4" s="6" t="str">
        <f t="shared" ref="J4:J28" si="0">IF(F4="LocalDate", "TimeUtil.from(rs.getDate"&amp;B4&amp;")", IF(F4="LocalDateTime", "TimeUtil.from(rs.getTimestamp"&amp;B4&amp;")",I4))</f>
        <v>rs.getString("id")</v>
      </c>
      <c r="K4" s="6" t="str">
        <f>"form.set"&amp;H4&amp;"("&amp;J4&amp;");"</f>
        <v>form.setId(rs.getString("id"));</v>
      </c>
      <c r="L4" t="str">
        <f>"form.set"&amp;H4&amp;"(rbs.get"&amp;H4&amp;"());"</f>
        <v>form.setId(rbs.getId());</v>
      </c>
    </row>
    <row r="5" spans="1:12">
      <c r="A5" s="7" t="s">
        <v>0</v>
      </c>
      <c r="B5" s="3" t="str">
        <f t="shared" ref="B5:B39" si="1">_xlfn.CONCAT("(""", A5, """)")</f>
        <v>("cost")</v>
      </c>
      <c r="C5" t="s">
        <v>32</v>
      </c>
      <c r="D5" t="s">
        <v>34</v>
      </c>
      <c r="F5" t="s">
        <v>71</v>
      </c>
      <c r="H5" t="str">
        <f t="shared" ref="H5:H39" si="2">UPPER(LEFT(D5,1))&amp;MID(D5,2,LEN(D5)-1)</f>
        <v>Cost</v>
      </c>
      <c r="I5" t="str">
        <f t="shared" ref="I5:I38" si="3">"rs.get"&amp;UPPER(LEFT(F5,1))&amp;MID(F5,2,LEN(F5)-1)&amp;"("""&amp;A5&amp;""")"</f>
        <v>rs.getDouble("cost")</v>
      </c>
      <c r="J5" t="str">
        <f t="shared" si="0"/>
        <v>rs.getDouble("cost")</v>
      </c>
      <c r="K5" t="str">
        <f t="shared" ref="K5:K37" si="4">"form.set"&amp;H5&amp;"("&amp;J5&amp;");"</f>
        <v>form.setCost(rs.getDouble("cost"));</v>
      </c>
      <c r="L5" t="str">
        <f t="shared" ref="L5:L39" si="5">"form.set"&amp;H5&amp;"(rbs.get"&amp;H5&amp;"());"</f>
        <v>form.setCost(rbs.getCost());</v>
      </c>
    </row>
    <row r="6" spans="1:12">
      <c r="A6" s="7" t="s">
        <v>134</v>
      </c>
      <c r="B6" s="3" t="str">
        <f t="shared" si="1"/>
        <v>("reserve_loan")</v>
      </c>
      <c r="C6" t="s">
        <v>32</v>
      </c>
      <c r="D6" t="s">
        <v>135</v>
      </c>
      <c r="E6" t="s">
        <v>138</v>
      </c>
      <c r="F6" t="s">
        <v>71</v>
      </c>
      <c r="H6" t="str">
        <f t="shared" si="2"/>
        <v>ReserveLoan</v>
      </c>
      <c r="I6" t="str">
        <f t="shared" si="3"/>
        <v>rs.getDouble("reserve_loan")</v>
      </c>
      <c r="L6" t="str">
        <f t="shared" si="5"/>
        <v>form.setReserveLoan(rbs.getReserveLoan());</v>
      </c>
    </row>
    <row r="7" spans="1:12">
      <c r="A7" s="7" t="s">
        <v>136</v>
      </c>
      <c r="B7" s="3" t="str">
        <f t="shared" si="1"/>
        <v>("reserve_refund")</v>
      </c>
      <c r="C7" t="s">
        <v>32</v>
      </c>
      <c r="D7" t="s">
        <v>137</v>
      </c>
      <c r="E7" t="s">
        <v>139</v>
      </c>
      <c r="F7" t="s">
        <v>71</v>
      </c>
      <c r="H7" t="str">
        <f t="shared" si="2"/>
        <v>ReserveRefund</v>
      </c>
      <c r="I7" t="str">
        <f t="shared" si="3"/>
        <v>rs.getDouble("reserve_refund")</v>
      </c>
      <c r="L7" t="str">
        <f t="shared" si="5"/>
        <v>form.setReserveRefund(rbs.getReserveRefund());</v>
      </c>
    </row>
    <row r="8" spans="1:12">
      <c r="A8" s="7" t="s">
        <v>1</v>
      </c>
      <c r="B8" s="3" t="str">
        <f t="shared" si="1"/>
        <v>("voucher_num")</v>
      </c>
      <c r="C8" t="s">
        <v>32</v>
      </c>
      <c r="D8" t="s">
        <v>35</v>
      </c>
      <c r="F8" t="s">
        <v>72</v>
      </c>
      <c r="H8" t="str">
        <f t="shared" si="2"/>
        <v>VoucherNum</v>
      </c>
      <c r="I8" t="str">
        <f t="shared" si="3"/>
        <v>rs.getInt("voucher_num")</v>
      </c>
      <c r="J8" t="str">
        <f t="shared" si="0"/>
        <v>rs.getInt("voucher_num")</v>
      </c>
      <c r="K8" t="str">
        <f t="shared" si="4"/>
        <v>form.setVoucherNum(rs.getInt("voucher_num"));</v>
      </c>
      <c r="L8" t="str">
        <f t="shared" si="5"/>
        <v>form.setVoucherNum(rbs.getVoucherNum());</v>
      </c>
    </row>
    <row r="9" spans="1:12">
      <c r="A9" s="7" t="s">
        <v>4</v>
      </c>
      <c r="B9" s="3" t="str">
        <f t="shared" si="1"/>
        <v>("rbs_date")</v>
      </c>
      <c r="C9" t="s">
        <v>32</v>
      </c>
      <c r="D9" t="s">
        <v>37</v>
      </c>
      <c r="F9" t="s">
        <v>75</v>
      </c>
      <c r="H9" t="str">
        <f t="shared" si="2"/>
        <v>RbsDate</v>
      </c>
      <c r="I9" t="str">
        <f t="shared" si="3"/>
        <v>rs.getLocalDate("rbs_date")</v>
      </c>
      <c r="J9" t="str">
        <f t="shared" si="0"/>
        <v>TimeUtil.from(rs.getDate("rbs_date"))</v>
      </c>
      <c r="K9" t="str">
        <f t="shared" si="4"/>
        <v>form.setRbsDate(TimeUtil.from(rs.getDate("rbs_date")));</v>
      </c>
      <c r="L9" t="str">
        <f t="shared" si="5"/>
        <v>form.setRbsDate(rbs.getRbsDate());</v>
      </c>
    </row>
    <row r="10" spans="1:12">
      <c r="A10" s="7" t="s">
        <v>12</v>
      </c>
      <c r="B10" s="3" t="str">
        <f t="shared" si="1"/>
        <v>("rbs_type")</v>
      </c>
      <c r="C10" t="s">
        <v>32</v>
      </c>
      <c r="D10" t="s">
        <v>41</v>
      </c>
      <c r="F10" t="s">
        <v>70</v>
      </c>
      <c r="H10" t="str">
        <f t="shared" si="2"/>
        <v>RbsType</v>
      </c>
      <c r="I10" t="str">
        <f t="shared" si="3"/>
        <v>rs.getString("rbs_type")</v>
      </c>
      <c r="J10" t="str">
        <f t="shared" si="0"/>
        <v>rs.getString("rbs_type")</v>
      </c>
      <c r="K10" t="str">
        <f t="shared" si="4"/>
        <v>form.setRbsType(rs.getString("rbs_type"));</v>
      </c>
      <c r="L10" t="str">
        <f t="shared" si="5"/>
        <v>form.setRbsType(rbs.getRbsType());</v>
      </c>
    </row>
    <row r="11" spans="1:12">
      <c r="A11" s="7" t="s">
        <v>13</v>
      </c>
      <c r="B11" s="3" t="str">
        <f t="shared" si="1"/>
        <v>("reason_")</v>
      </c>
      <c r="C11" t="s">
        <v>32</v>
      </c>
      <c r="D11" t="s">
        <v>55</v>
      </c>
      <c r="F11" t="s">
        <v>70</v>
      </c>
      <c r="H11" t="str">
        <f t="shared" si="2"/>
        <v>Reason</v>
      </c>
      <c r="I11" t="str">
        <f t="shared" si="3"/>
        <v>rs.getString("reason_")</v>
      </c>
      <c r="J11" t="str">
        <f t="shared" si="0"/>
        <v>rs.getString("reason_")</v>
      </c>
      <c r="K11" t="str">
        <f t="shared" si="4"/>
        <v>form.setReason(rs.getString("reason_"));</v>
      </c>
      <c r="L11" t="str">
        <f t="shared" si="5"/>
        <v>form.setReason(rbs.getReason());</v>
      </c>
    </row>
    <row r="12" spans="1:12">
      <c r="A12" s="7" t="s">
        <v>23</v>
      </c>
      <c r="B12" s="3" t="str">
        <f t="shared" si="1"/>
        <v>("company")</v>
      </c>
      <c r="C12" t="s">
        <v>32</v>
      </c>
      <c r="D12" t="s">
        <v>23</v>
      </c>
      <c r="F12" t="s">
        <v>70</v>
      </c>
      <c r="H12" t="str">
        <f t="shared" si="2"/>
        <v>Company</v>
      </c>
      <c r="I12" t="str">
        <f t="shared" si="3"/>
        <v>rs.getString("company")</v>
      </c>
      <c r="J12" t="str">
        <f t="shared" si="0"/>
        <v>rs.getString("company")</v>
      </c>
      <c r="K12" t="str">
        <f t="shared" si="4"/>
        <v>form.setCompany(rs.getString("company"));</v>
      </c>
      <c r="L12" t="str">
        <f t="shared" si="5"/>
        <v>form.setCompany(rbs.getCompany());</v>
      </c>
    </row>
    <row r="13" spans="1:12">
      <c r="A13" s="7" t="s">
        <v>24</v>
      </c>
      <c r="B13" s="3" t="str">
        <f t="shared" si="1"/>
        <v>("dept_id")</v>
      </c>
      <c r="C13" t="s">
        <v>32</v>
      </c>
      <c r="D13" t="s">
        <v>56</v>
      </c>
      <c r="F13" t="s">
        <v>70</v>
      </c>
      <c r="H13" t="str">
        <f t="shared" si="2"/>
        <v>DepartmentId</v>
      </c>
      <c r="I13" t="str">
        <f t="shared" si="3"/>
        <v>rs.getString("dept_id")</v>
      </c>
      <c r="J13" t="str">
        <f t="shared" si="0"/>
        <v>rs.getString("dept_id")</v>
      </c>
      <c r="K13" t="str">
        <f t="shared" si="4"/>
        <v>form.setDepartmentId(rs.getString("dept_id"));</v>
      </c>
      <c r="L13" t="str">
        <f t="shared" si="5"/>
        <v>form.setDepartmentId(rbs.getDepartmentId());</v>
      </c>
    </row>
    <row r="14" spans="1:12">
      <c r="A14" s="7" t="s">
        <v>25</v>
      </c>
      <c r="B14" s="3" t="str">
        <f t="shared" si="1"/>
        <v>("dept_name")</v>
      </c>
      <c r="C14" t="s">
        <v>32</v>
      </c>
      <c r="D14" t="s">
        <v>57</v>
      </c>
      <c r="F14" t="s">
        <v>70</v>
      </c>
      <c r="H14" t="str">
        <f t="shared" si="2"/>
        <v>DepartmentName</v>
      </c>
      <c r="I14" t="str">
        <f t="shared" si="3"/>
        <v>rs.getString("dept_name")</v>
      </c>
      <c r="J14" t="str">
        <f t="shared" si="0"/>
        <v>rs.getString("dept_name")</v>
      </c>
      <c r="K14" t="str">
        <f t="shared" si="4"/>
        <v>form.setDepartmentName(rs.getString("dept_name"));</v>
      </c>
      <c r="L14" t="str">
        <f t="shared" si="5"/>
        <v>form.setDepartmentName(rbs.getDepartmentName());</v>
      </c>
    </row>
    <row r="15" spans="1:12">
      <c r="A15" s="7" t="s">
        <v>27</v>
      </c>
      <c r="B15" s="3" t="str">
        <f t="shared" si="1"/>
        <v>("team_id")</v>
      </c>
      <c r="C15" t="s">
        <v>32</v>
      </c>
      <c r="D15" t="s">
        <v>49</v>
      </c>
      <c r="F15" t="s">
        <v>70</v>
      </c>
      <c r="H15" t="str">
        <f t="shared" si="2"/>
        <v>TeamId</v>
      </c>
      <c r="I15" t="str">
        <f t="shared" si="3"/>
        <v>rs.getString("team_id")</v>
      </c>
      <c r="J15" t="str">
        <f t="shared" si="0"/>
        <v>rs.getString("team_id")</v>
      </c>
      <c r="K15" t="str">
        <f t="shared" si="4"/>
        <v>form.setTeamId(rs.getString("team_id"));</v>
      </c>
      <c r="L15" t="str">
        <f t="shared" si="5"/>
        <v>form.setTeamId(rbs.getTeamId());</v>
      </c>
    </row>
    <row r="16" spans="1:12">
      <c r="A16" s="7" t="s">
        <v>28</v>
      </c>
      <c r="B16" s="3" t="str">
        <f t="shared" si="1"/>
        <v>("team_name")</v>
      </c>
      <c r="C16" t="s">
        <v>32</v>
      </c>
      <c r="D16" t="s">
        <v>50</v>
      </c>
      <c r="F16" t="s">
        <v>70</v>
      </c>
      <c r="H16" t="str">
        <f t="shared" si="2"/>
        <v>TeamName</v>
      </c>
      <c r="I16" t="str">
        <f t="shared" si="3"/>
        <v>rs.getString("team_name")</v>
      </c>
      <c r="J16" t="str">
        <f t="shared" si="0"/>
        <v>rs.getString("team_name")</v>
      </c>
      <c r="K16" t="str">
        <f t="shared" si="4"/>
        <v>form.setTeamName(rs.getString("team_name"));</v>
      </c>
      <c r="L16" t="str">
        <f t="shared" si="5"/>
        <v>form.setTeamName(rbs.getTeamName());</v>
      </c>
    </row>
    <row r="17" spans="1:12">
      <c r="A17" s="7" t="s">
        <v>26</v>
      </c>
      <c r="B17" s="3" t="str">
        <f t="shared" si="1"/>
        <v>("project")</v>
      </c>
      <c r="C17" t="s">
        <v>32</v>
      </c>
      <c r="D17" t="s">
        <v>26</v>
      </c>
      <c r="F17" t="s">
        <v>70</v>
      </c>
      <c r="H17" t="str">
        <f t="shared" si="2"/>
        <v>Project</v>
      </c>
      <c r="I17" t="str">
        <f t="shared" si="3"/>
        <v>rs.getString("project")</v>
      </c>
      <c r="J17" t="str">
        <f t="shared" si="0"/>
        <v>rs.getString("project")</v>
      </c>
      <c r="K17" t="str">
        <f t="shared" si="4"/>
        <v>form.setProject(rs.getString("project"));</v>
      </c>
      <c r="L17" t="str">
        <f t="shared" si="5"/>
        <v>form.setProject(rbs.getProject());</v>
      </c>
    </row>
    <row r="18" spans="1:12" s="10" customFormat="1">
      <c r="A18" s="8" t="s">
        <v>115</v>
      </c>
      <c r="B18" s="9" t="str">
        <f t="shared" si="1"/>
        <v>("srv_name")</v>
      </c>
      <c r="C18" s="10" t="s">
        <v>32</v>
      </c>
      <c r="D18" s="10" t="s">
        <v>63</v>
      </c>
      <c r="F18" s="10" t="s">
        <v>70</v>
      </c>
      <c r="H18" s="10" t="str">
        <f t="shared" si="2"/>
        <v>ServiceName</v>
      </c>
      <c r="I18" s="10" t="str">
        <f t="shared" si="3"/>
        <v>rs.getString("srv_name")</v>
      </c>
      <c r="J18" s="10" t="str">
        <f t="shared" si="0"/>
        <v>rs.getString("srv_name")</v>
      </c>
      <c r="K18" s="10" t="str">
        <f t="shared" si="4"/>
        <v>form.setServiceName(rs.getString("srv_name"));</v>
      </c>
      <c r="L18" t="str">
        <f t="shared" si="5"/>
        <v>form.setServiceName(rbs.getServiceName());</v>
      </c>
    </row>
    <row r="19" spans="1:12" s="6" customFormat="1">
      <c r="A19" s="4" t="s">
        <v>129</v>
      </c>
      <c r="B19" s="5" t="str">
        <f>_xlfn.CONCAT("(""", A19, """)")</f>
        <v>("pdf_file")</v>
      </c>
      <c r="C19" s="6" t="s">
        <v>61</v>
      </c>
      <c r="D19" s="6" t="s">
        <v>131</v>
      </c>
      <c r="F19" s="6" t="s">
        <v>70</v>
      </c>
      <c r="H19" s="6" t="str">
        <f t="shared" si="2"/>
        <v>PdfFileList</v>
      </c>
      <c r="I19" s="6" t="str">
        <f t="shared" si="3"/>
        <v>rs.getString("pdf_file")</v>
      </c>
      <c r="J19" s="6" t="str">
        <f t="shared" si="0"/>
        <v>rs.getString("pdf_file")</v>
      </c>
      <c r="K19" s="6" t="str">
        <f t="shared" si="4"/>
        <v>form.setPdfFileList(rs.getString("pdf_file"));</v>
      </c>
      <c r="L19" t="str">
        <f t="shared" si="5"/>
        <v>form.setPdfFileList(rbs.getPdfFileList());</v>
      </c>
    </row>
    <row r="20" spans="1:12">
      <c r="A20" s="7" t="s">
        <v>130</v>
      </c>
      <c r="B20" s="3" t="str">
        <f>_xlfn.CONCAT("(""", A20, """)")</f>
        <v>("other_file")</v>
      </c>
      <c r="C20" t="s">
        <v>61</v>
      </c>
      <c r="D20" t="s">
        <v>132</v>
      </c>
      <c r="F20" t="s">
        <v>70</v>
      </c>
      <c r="H20" t="str">
        <f>UPPER(LEFT(D20,1))&amp;MID(D20,2,LEN(D20)-1)</f>
        <v>OtherFileList</v>
      </c>
      <c r="I20" t="str">
        <f>"rs.get"&amp;UPPER(LEFT(F20,1))&amp;MID(F20,2,LEN(F20)-1)&amp;"("""&amp;A20&amp;""")"</f>
        <v>rs.getString("other_file")</v>
      </c>
      <c r="J20" t="str">
        <f>IF(F20="LocalDate", "TimeUtil.from(rs.getDate"&amp;B20&amp;")", IF(F20="LocalDateTime", "TimeUtil.from(rs.getTimestamp"&amp;B20&amp;")",I20))</f>
        <v>rs.getString("other_file")</v>
      </c>
      <c r="K20" t="str">
        <f>"form.set"&amp;H20&amp;"("&amp;J20&amp;");"</f>
        <v>form.setOtherFileList(rs.getString("other_file"));</v>
      </c>
      <c r="L20" t="str">
        <f t="shared" si="5"/>
        <v>form.setOtherFileList(rbs.getOtherFileList());</v>
      </c>
    </row>
    <row r="21" spans="1:12">
      <c r="A21" s="7" t="s">
        <v>20</v>
      </c>
      <c r="B21" s="3" t="str">
        <f t="shared" si="1"/>
        <v>("biz_state")</v>
      </c>
      <c r="C21" t="s">
        <v>61</v>
      </c>
      <c r="D21" t="s">
        <v>59</v>
      </c>
      <c r="F21" t="s">
        <v>70</v>
      </c>
      <c r="H21" t="str">
        <f t="shared" si="2"/>
        <v>BusinessState</v>
      </c>
      <c r="I21" t="str">
        <f t="shared" si="3"/>
        <v>rs.getString("biz_state")</v>
      </c>
      <c r="J21" t="str">
        <f t="shared" si="0"/>
        <v>rs.getString("biz_state")</v>
      </c>
      <c r="K21" t="str">
        <f t="shared" si="4"/>
        <v>form.setBusinessState(rs.getString("biz_state"));</v>
      </c>
      <c r="L21" t="str">
        <f t="shared" si="5"/>
        <v>form.setBusinessState(rbs.getBusinessState());</v>
      </c>
    </row>
    <row r="22" spans="1:12">
      <c r="A22" s="7" t="s">
        <v>21</v>
      </c>
      <c r="B22" s="3" t="str">
        <f t="shared" si="1"/>
        <v>("proc_state")</v>
      </c>
      <c r="C22" t="s">
        <v>61</v>
      </c>
      <c r="D22" t="s">
        <v>60</v>
      </c>
      <c r="F22" t="s">
        <v>70</v>
      </c>
      <c r="H22" t="str">
        <f t="shared" si="2"/>
        <v>ProcessState</v>
      </c>
      <c r="I22" t="str">
        <f t="shared" si="3"/>
        <v>rs.getString("proc_state")</v>
      </c>
      <c r="J22" t="str">
        <f t="shared" si="0"/>
        <v>rs.getString("proc_state")</v>
      </c>
      <c r="K22" t="str">
        <f t="shared" si="4"/>
        <v>form.setProcessState(rs.getString("proc_state"));</v>
      </c>
      <c r="L22" t="str">
        <f t="shared" si="5"/>
        <v>form.setProcessState(rbs.getProcessState());</v>
      </c>
    </row>
    <row r="23" spans="1:12">
      <c r="A23" s="7" t="s">
        <v>17</v>
      </c>
      <c r="B23" s="3" t="str">
        <f t="shared" si="1"/>
        <v>("is_finished")</v>
      </c>
      <c r="C23" t="s">
        <v>61</v>
      </c>
      <c r="D23" t="s">
        <v>45</v>
      </c>
      <c r="F23" t="s">
        <v>73</v>
      </c>
      <c r="H23" t="str">
        <f t="shared" si="2"/>
        <v>IsFinished</v>
      </c>
      <c r="I23" t="str">
        <f t="shared" si="3"/>
        <v>rs.getBoolean("is_finished")</v>
      </c>
      <c r="J23" t="str">
        <f t="shared" si="0"/>
        <v>rs.getBoolean("is_finished")</v>
      </c>
      <c r="K23" t="str">
        <f t="shared" si="4"/>
        <v>form.setIsFinished(rs.getBoolean("is_finished"));</v>
      </c>
      <c r="L23" t="str">
        <f t="shared" si="5"/>
        <v>form.setIsFinished(rbs.getIsFinished());</v>
      </c>
    </row>
    <row r="24" spans="1:12">
      <c r="A24" s="7" t="s">
        <v>18</v>
      </c>
      <c r="B24" s="3" t="str">
        <f t="shared" si="1"/>
        <v>("is_leader")</v>
      </c>
      <c r="C24" t="s">
        <v>61</v>
      </c>
      <c r="D24" t="s">
        <v>47</v>
      </c>
      <c r="F24" t="s">
        <v>73</v>
      </c>
      <c r="H24" t="str">
        <f t="shared" si="2"/>
        <v>IsLeader</v>
      </c>
      <c r="I24" t="str">
        <f t="shared" si="3"/>
        <v>rs.getBoolean("is_leader")</v>
      </c>
      <c r="J24" t="str">
        <f t="shared" si="0"/>
        <v>rs.getBoolean("is_leader")</v>
      </c>
      <c r="K24" t="str">
        <f t="shared" si="4"/>
        <v>form.setIsLeader(rs.getBoolean("is_leader"));</v>
      </c>
      <c r="L24" t="str">
        <f t="shared" si="5"/>
        <v>form.setIsLeader(rbs.getIsLeader());</v>
      </c>
    </row>
    <row r="25" spans="1:12">
      <c r="A25" s="7" t="s">
        <v>216</v>
      </c>
      <c r="B25" s="3" t="str">
        <f t="shared" si="1"/>
        <v>("copy")</v>
      </c>
      <c r="C25" t="s">
        <v>61</v>
      </c>
      <c r="D25" t="s">
        <v>216</v>
      </c>
      <c r="E25" t="s">
        <v>217</v>
      </c>
      <c r="F25" t="s">
        <v>70</v>
      </c>
      <c r="H25" t="str">
        <f t="shared" si="2"/>
        <v>Copy</v>
      </c>
      <c r="I25" t="str">
        <f t="shared" si="3"/>
        <v>rs.getString("copy")</v>
      </c>
      <c r="J25" t="str">
        <f t="shared" si="0"/>
        <v>rs.getString("copy")</v>
      </c>
      <c r="K25" t="str">
        <f t="shared" si="4"/>
        <v>form.setCopy(rs.getString("copy"));</v>
      </c>
      <c r="L25" t="str">
        <f t="shared" si="5"/>
        <v>form.setCopy(rbs.getCopy());</v>
      </c>
    </row>
    <row r="26" spans="1:12">
      <c r="A26" s="7" t="s">
        <v>141</v>
      </c>
      <c r="B26" s="3" t="str">
        <f t="shared" si="1"/>
        <v>("managers")</v>
      </c>
      <c r="C26" t="s">
        <v>61</v>
      </c>
      <c r="D26" t="s">
        <v>141</v>
      </c>
      <c r="F26" t="s">
        <v>70</v>
      </c>
      <c r="H26" t="str">
        <f t="shared" si="2"/>
        <v>Managers</v>
      </c>
      <c r="I26" t="str">
        <f t="shared" si="3"/>
        <v>rs.getString("managers")</v>
      </c>
      <c r="J26" t="str">
        <f t="shared" si="0"/>
        <v>rs.getString("managers")</v>
      </c>
      <c r="K26" t="str">
        <f t="shared" si="4"/>
        <v>form.setManagers(rs.getString("managers"));</v>
      </c>
      <c r="L26" t="str">
        <f t="shared" si="5"/>
        <v>form.setManagers(rbs.getManagers());</v>
      </c>
    </row>
    <row r="27" spans="1:12">
      <c r="A27" s="7" t="s">
        <v>83</v>
      </c>
      <c r="B27" s="3" t="str">
        <f t="shared" si="1"/>
        <v>("del_reason")</v>
      </c>
      <c r="C27" t="s">
        <v>61</v>
      </c>
      <c r="D27" t="s">
        <v>46</v>
      </c>
      <c r="F27" t="s">
        <v>70</v>
      </c>
      <c r="H27" t="str">
        <f t="shared" si="2"/>
        <v>DeleteReason</v>
      </c>
      <c r="I27" t="str">
        <f t="shared" si="3"/>
        <v>rs.getString("del_reason")</v>
      </c>
      <c r="J27" t="str">
        <f t="shared" si="0"/>
        <v>rs.getString("del_reason")</v>
      </c>
      <c r="K27" t="str">
        <f t="shared" si="4"/>
        <v>form.setDeleteReason(rs.getString("del_reason"));</v>
      </c>
      <c r="L27" t="str">
        <f t="shared" si="5"/>
        <v>form.setDeleteReason(rbs.getDeleteReason());</v>
      </c>
    </row>
    <row r="28" spans="1:12">
      <c r="A28" s="7" t="s">
        <v>22</v>
      </c>
      <c r="B28" s="3" t="str">
        <f t="shared" si="1"/>
        <v>("srv_name")</v>
      </c>
      <c r="C28" t="s">
        <v>61</v>
      </c>
      <c r="D28" t="s">
        <v>63</v>
      </c>
      <c r="F28" t="s">
        <v>70</v>
      </c>
      <c r="H28" t="str">
        <f t="shared" si="2"/>
        <v>ServiceName</v>
      </c>
      <c r="I28" t="str">
        <f t="shared" si="3"/>
        <v>rs.getString("srv_name")</v>
      </c>
      <c r="J28" t="str">
        <f t="shared" si="0"/>
        <v>rs.getString("srv_name")</v>
      </c>
      <c r="K28" t="str">
        <f t="shared" si="4"/>
        <v>form.setServiceName(rs.getString("srv_name"));</v>
      </c>
      <c r="L28" t="str">
        <f t="shared" si="5"/>
        <v>form.setServiceName(rbs.getServiceName());</v>
      </c>
    </row>
    <row r="29" spans="1:12">
      <c r="A29" s="7" t="s">
        <v>3</v>
      </c>
      <c r="B29" s="3" t="str">
        <f t="shared" si="1"/>
        <v>("end_time")</v>
      </c>
      <c r="C29" t="s">
        <v>61</v>
      </c>
      <c r="D29" t="s">
        <v>36</v>
      </c>
      <c r="F29" t="s">
        <v>74</v>
      </c>
      <c r="H29" t="str">
        <f t="shared" si="2"/>
        <v>EndTime</v>
      </c>
      <c r="I29" t="str">
        <f t="shared" si="3"/>
        <v>rs.getLocalDateTime("end_time")</v>
      </c>
      <c r="J29" t="str">
        <f>IF(F29="LocalDate", "TimeUtil.from(rs.getDate"&amp;B29&amp;")", IF(F29="LocalDateTime", "TimeUtil.from(rs.getTimestamp"&amp;B29&amp;")",I29))</f>
        <v>TimeUtil.from(rs.getTimestamp("end_time"))</v>
      </c>
      <c r="K29" t="str">
        <f t="shared" si="4"/>
        <v>form.setEndTime(TimeUtil.from(rs.getTimestamp("end_time")));</v>
      </c>
      <c r="L29" t="str">
        <f t="shared" si="5"/>
        <v>form.setEndTime(rbs.getEndTime());</v>
      </c>
    </row>
    <row r="30" spans="1:12">
      <c r="A30" s="7" t="s">
        <v>11</v>
      </c>
      <c r="B30" s="3" t="str">
        <f t="shared" si="1"/>
        <v>("proc_inst_id")</v>
      </c>
      <c r="C30" t="s">
        <v>61</v>
      </c>
      <c r="D30" t="s">
        <v>58</v>
      </c>
      <c r="F30" t="s">
        <v>70</v>
      </c>
      <c r="H30" t="str">
        <f t="shared" si="2"/>
        <v>ProcessInstanceId</v>
      </c>
      <c r="I30" t="str">
        <f t="shared" si="3"/>
        <v>rs.getString("proc_inst_id")</v>
      </c>
      <c r="J30" t="str">
        <f t="shared" ref="J30:J38" si="6">IF(F30="LocalDate", "TimeUtil.from(rs.getDate"&amp;B30&amp;")", IF(F30="LocalDateTime", "TimeUtil.from(rs.getTimestamp"&amp;B30&amp;")",I30))</f>
        <v>rs.getString("proc_inst_id")</v>
      </c>
      <c r="K30" t="str">
        <f t="shared" si="4"/>
        <v>form.setProcessInstanceId(rs.getString("proc_inst_id"));</v>
      </c>
      <c r="L30" t="str">
        <f t="shared" si="5"/>
        <v>form.setProcessInstanceId(rbs.getProcessInstanceId());</v>
      </c>
    </row>
    <row r="31" spans="1:12">
      <c r="A31" s="7" t="s">
        <v>10</v>
      </c>
      <c r="B31" s="3" t="str">
        <f t="shared" si="1"/>
        <v>("proc_def_key")</v>
      </c>
      <c r="C31" t="s">
        <v>61</v>
      </c>
      <c r="D31" t="s">
        <v>64</v>
      </c>
      <c r="F31" t="s">
        <v>70</v>
      </c>
      <c r="H31" t="str">
        <f t="shared" si="2"/>
        <v>ProcessDefinitionKey</v>
      </c>
      <c r="I31" t="str">
        <f t="shared" si="3"/>
        <v>rs.getString("proc_def_key")</v>
      </c>
      <c r="J31" t="str">
        <f t="shared" si="6"/>
        <v>rs.getString("proc_def_key")</v>
      </c>
      <c r="K31" t="str">
        <f t="shared" si="4"/>
        <v>form.setProcessDefinitionKey(rs.getString("proc_def_key"));</v>
      </c>
      <c r="L31" t="str">
        <f t="shared" si="5"/>
        <v>form.setProcessDefinitionKey(rbs.getProcessDefinitionKey());</v>
      </c>
    </row>
    <row r="32" spans="1:12" s="10" customFormat="1">
      <c r="A32" s="8" t="s">
        <v>9</v>
      </c>
      <c r="B32" s="9" t="str">
        <f t="shared" si="1"/>
        <v>("proc_def_id")</v>
      </c>
      <c r="C32" s="10" t="s">
        <v>61</v>
      </c>
      <c r="D32" s="10" t="s">
        <v>65</v>
      </c>
      <c r="F32" s="10" t="s">
        <v>70</v>
      </c>
      <c r="H32" s="10" t="str">
        <f t="shared" si="2"/>
        <v>ProcessDefinitionId</v>
      </c>
      <c r="I32" s="10" t="str">
        <f t="shared" si="3"/>
        <v>rs.getString("proc_def_id")</v>
      </c>
      <c r="J32" s="10" t="str">
        <f t="shared" si="6"/>
        <v>rs.getString("proc_def_id")</v>
      </c>
      <c r="K32" s="10" t="str">
        <f t="shared" si="4"/>
        <v>form.setProcessDefinitionId(rs.getString("proc_def_id"));</v>
      </c>
      <c r="L32" t="str">
        <f t="shared" si="5"/>
        <v>form.setProcessDefinitionId(rbs.getProcessDefinitionId());</v>
      </c>
    </row>
    <row r="33" spans="1:12" s="6" customFormat="1">
      <c r="A33" s="4" t="s">
        <v>14</v>
      </c>
      <c r="B33" s="5" t="str">
        <f t="shared" si="1"/>
        <v>("update_userid")</v>
      </c>
      <c r="C33" s="6" t="s">
        <v>62</v>
      </c>
      <c r="D33" s="6" t="s">
        <v>42</v>
      </c>
      <c r="F33" s="6" t="s">
        <v>70</v>
      </c>
      <c r="H33" s="6" t="str">
        <f t="shared" si="2"/>
        <v>UpdateUserid</v>
      </c>
      <c r="I33" s="6" t="str">
        <f t="shared" si="3"/>
        <v>rs.getString("update_userid")</v>
      </c>
      <c r="J33" s="6" t="str">
        <f t="shared" si="6"/>
        <v>rs.getString("update_userid")</v>
      </c>
      <c r="K33" s="6" t="str">
        <f t="shared" si="4"/>
        <v>form.setUpdateUserid(rs.getString("update_userid"));</v>
      </c>
      <c r="L33" t="str">
        <f t="shared" si="5"/>
        <v>form.setUpdateUserid(rbs.getUpdateUserid());</v>
      </c>
    </row>
    <row r="34" spans="1:12">
      <c r="A34" s="7" t="s">
        <v>15</v>
      </c>
      <c r="B34" s="3" t="str">
        <f t="shared" si="1"/>
        <v>("update_username")</v>
      </c>
      <c r="C34" t="s">
        <v>62</v>
      </c>
      <c r="D34" t="s">
        <v>43</v>
      </c>
      <c r="F34" t="s">
        <v>70</v>
      </c>
      <c r="H34" t="str">
        <f t="shared" si="2"/>
        <v>UpdateUsername</v>
      </c>
      <c r="I34" t="str">
        <f t="shared" si="3"/>
        <v>rs.getString("update_username")</v>
      </c>
      <c r="J34" t="str">
        <f t="shared" si="6"/>
        <v>rs.getString("update_username")</v>
      </c>
      <c r="K34" t="str">
        <f t="shared" si="4"/>
        <v>form.setUpdateUsername(rs.getString("update_username"));</v>
      </c>
      <c r="L34" t="str">
        <f t="shared" si="5"/>
        <v>form.setUpdateUsername(rbs.getUpdateUsername());</v>
      </c>
    </row>
    <row r="35" spans="1:12">
      <c r="A35" s="7" t="s">
        <v>5</v>
      </c>
      <c r="B35" s="3" t="str">
        <f t="shared" si="1"/>
        <v>("update_date")</v>
      </c>
      <c r="C35" t="s">
        <v>62</v>
      </c>
      <c r="D35" t="s">
        <v>38</v>
      </c>
      <c r="F35" t="s">
        <v>74</v>
      </c>
      <c r="H35" t="str">
        <f t="shared" si="2"/>
        <v>UpdateDate</v>
      </c>
      <c r="I35" t="str">
        <f t="shared" si="3"/>
        <v>rs.getLocalDateTime("update_date")</v>
      </c>
      <c r="J35" t="str">
        <f t="shared" si="6"/>
        <v>TimeUtil.from(rs.getTimestamp("update_date"))</v>
      </c>
      <c r="K35" t="str">
        <f t="shared" si="4"/>
        <v>form.setUpdateDate(TimeUtil.from(rs.getTimestamp("update_date")));</v>
      </c>
      <c r="L35" t="str">
        <f t="shared" si="5"/>
        <v>form.setUpdateDate(rbs.getUpdateDate());</v>
      </c>
    </row>
    <row r="36" spans="1:12">
      <c r="A36" s="7" t="s">
        <v>2</v>
      </c>
      <c r="B36" s="3" t="str">
        <f t="shared" si="1"/>
        <v>("create_date")</v>
      </c>
      <c r="C36" t="s">
        <v>62</v>
      </c>
      <c r="D36" t="s">
        <v>51</v>
      </c>
      <c r="F36" t="s">
        <v>74</v>
      </c>
      <c r="H36" t="str">
        <f t="shared" si="2"/>
        <v>CreateDate</v>
      </c>
      <c r="I36" t="str">
        <f t="shared" si="3"/>
        <v>rs.getLocalDateTime("create_date")</v>
      </c>
      <c r="J36" t="str">
        <f t="shared" si="6"/>
        <v>TimeUtil.from(rs.getTimestamp("create_date"))</v>
      </c>
      <c r="K36" t="str">
        <f t="shared" si="4"/>
        <v>form.setCreateDate(TimeUtil.from(rs.getTimestamp("create_date")));</v>
      </c>
      <c r="L36" t="str">
        <f t="shared" si="5"/>
        <v>form.setCreateDate(rbs.getCreateDate());</v>
      </c>
    </row>
    <row r="37" spans="1:12">
      <c r="A37" s="7" t="s">
        <v>6</v>
      </c>
      <c r="B37" s="3" t="str">
        <f t="shared" si="1"/>
        <v>("create_userid")</v>
      </c>
      <c r="C37" t="s">
        <v>62</v>
      </c>
      <c r="D37" t="s">
        <v>39</v>
      </c>
      <c r="F37" t="s">
        <v>70</v>
      </c>
      <c r="H37" t="str">
        <f t="shared" si="2"/>
        <v>CreateUserid</v>
      </c>
      <c r="I37" t="str">
        <f t="shared" si="3"/>
        <v>rs.getString("create_userid")</v>
      </c>
      <c r="J37" t="str">
        <f t="shared" si="6"/>
        <v>rs.getString("create_userid")</v>
      </c>
      <c r="K37" t="str">
        <f t="shared" si="4"/>
        <v>form.setCreateUserid(rs.getString("create_userid"));</v>
      </c>
      <c r="L37" t="str">
        <f t="shared" si="5"/>
        <v>form.setCreateUserid(rbs.getCreateUserid());</v>
      </c>
    </row>
    <row r="38" spans="1:12" s="10" customFormat="1">
      <c r="A38" s="8" t="s">
        <v>7</v>
      </c>
      <c r="B38" s="9" t="str">
        <f t="shared" si="1"/>
        <v>("create_username")</v>
      </c>
      <c r="C38" s="10" t="s">
        <v>62</v>
      </c>
      <c r="D38" s="10" t="s">
        <v>40</v>
      </c>
      <c r="F38" s="10" t="s">
        <v>70</v>
      </c>
      <c r="H38" s="10" t="str">
        <f t="shared" si="2"/>
        <v>CreateUsername</v>
      </c>
      <c r="I38" s="10" t="str">
        <f t="shared" si="3"/>
        <v>rs.getString("create_username")</v>
      </c>
      <c r="J38" s="10" t="str">
        <f t="shared" si="6"/>
        <v>rs.getString("create_username")</v>
      </c>
      <c r="K38" s="10" t="str">
        <f>"form.set"&amp;H38&amp;"("&amp;J38&amp;");"</f>
        <v>form.setCreateUsername(rs.getString("create_username"));</v>
      </c>
      <c r="L38" s="6" t="str">
        <f t="shared" si="5"/>
        <v>form.setCreateUsername(rbs.getCreateUsername());</v>
      </c>
    </row>
    <row r="39" spans="1:12">
      <c r="A39" s="1" t="s">
        <v>467</v>
      </c>
      <c r="B39" s="3" t="str">
        <f t="shared" si="1"/>
        <v>("debit_book_id")</v>
      </c>
      <c r="C39" t="s">
        <v>32</v>
      </c>
      <c r="D39" t="s">
        <v>466</v>
      </c>
      <c r="E39" t="s">
        <v>468</v>
      </c>
      <c r="H39" t="str">
        <f t="shared" si="2"/>
        <v>BookId</v>
      </c>
      <c r="L39" t="str">
        <f t="shared" si="5"/>
        <v>form.setBookId(rbs.getBookId());</v>
      </c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A34" sqref="A34:XFD43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269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11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H31" sqref="H31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2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2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2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2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2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2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2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2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2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2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2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2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2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2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2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2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G5" sqref="G5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8" width="9" customWidth="1"/>
    <col min="9" max="10" width="21.75" bestFit="1" customWidth="1"/>
    <col min="11" max="11" width="41.3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2" t="s">
        <v>175</v>
      </c>
      <c r="C5" s="13" t="s">
        <v>178</v>
      </c>
      <c r="D5" s="15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2" t="s">
        <v>175</v>
      </c>
      <c r="C6" s="13" t="s">
        <v>179</v>
      </c>
      <c r="D6" s="15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2" t="s">
        <v>175</v>
      </c>
      <c r="C7" s="13" t="s">
        <v>181</v>
      </c>
      <c r="D7" s="15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2" t="s">
        <v>175</v>
      </c>
      <c r="C8" s="13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2" t="s">
        <v>175</v>
      </c>
      <c r="C9" s="13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2" t="s">
        <v>175</v>
      </c>
      <c r="C10" s="13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5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5"/>
  <sheetViews>
    <sheetView topLeftCell="A28" workbookViewId="0">
      <selection activeCell="D61" sqref="D61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234</v>
      </c>
    </row>
    <row r="2" spans="1:11">
      <c r="A2" s="2" t="s">
        <v>69</v>
      </c>
      <c r="B2" t="s">
        <v>235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269</v>
      </c>
      <c r="H3" s="2" t="s">
        <v>128</v>
      </c>
      <c r="K3" s="2" t="s">
        <v>140</v>
      </c>
    </row>
    <row r="4" spans="1:11">
      <c r="A4" s="2" t="s">
        <v>118</v>
      </c>
      <c r="B4" t="s">
        <v>235</v>
      </c>
      <c r="C4" t="s">
        <v>118</v>
      </c>
      <c r="D4" t="s">
        <v>223</v>
      </c>
      <c r="E4" t="s">
        <v>222</v>
      </c>
      <c r="F4" t="s">
        <v>54</v>
      </c>
      <c r="G4" t="str">
        <f>"private "&amp;E4&amp;" "&amp;C4&amp;";"</f>
        <v>private String  id;</v>
      </c>
    </row>
    <row r="5" spans="1:11">
      <c r="A5" s="2" t="s">
        <v>227</v>
      </c>
      <c r="B5" t="s">
        <v>235</v>
      </c>
      <c r="C5" t="s">
        <v>228</v>
      </c>
      <c r="E5" t="s">
        <v>222</v>
      </c>
      <c r="G5" t="str">
        <f t="shared" ref="G5:G24" si="0">"private "&amp;E5&amp;" "&amp;C5&amp;";"</f>
        <v>private String  rootId;</v>
      </c>
    </row>
    <row r="6" spans="1:11">
      <c r="A6" s="2" t="s">
        <v>229</v>
      </c>
      <c r="B6" t="s">
        <v>235</v>
      </c>
      <c r="C6" t="s">
        <v>224</v>
      </c>
      <c r="D6" t="s">
        <v>268</v>
      </c>
      <c r="E6" t="s">
        <v>222</v>
      </c>
      <c r="G6" t="str">
        <f t="shared" si="0"/>
        <v>private String  deptId;</v>
      </c>
    </row>
    <row r="7" spans="1:11">
      <c r="A7" s="2" t="s">
        <v>230</v>
      </c>
      <c r="B7" t="s">
        <v>235</v>
      </c>
      <c r="C7" t="s">
        <v>225</v>
      </c>
      <c r="E7" t="s">
        <v>222</v>
      </c>
      <c r="G7" t="str">
        <f t="shared" si="0"/>
        <v>private String  deptName;</v>
      </c>
    </row>
    <row r="8" spans="1:11">
      <c r="A8" s="2" t="s">
        <v>262</v>
      </c>
      <c r="B8" t="s">
        <v>235</v>
      </c>
      <c r="C8" t="s">
        <v>236</v>
      </c>
      <c r="D8" t="s">
        <v>226</v>
      </c>
      <c r="E8" t="s">
        <v>222</v>
      </c>
      <c r="G8" t="str">
        <f t="shared" si="0"/>
        <v>private String  staff;</v>
      </c>
    </row>
    <row r="9" spans="1:11">
      <c r="A9" s="2" t="s">
        <v>261</v>
      </c>
      <c r="B9" t="s">
        <v>235</v>
      </c>
      <c r="C9" t="s">
        <v>55</v>
      </c>
      <c r="D9" t="s">
        <v>231</v>
      </c>
      <c r="E9" t="s">
        <v>222</v>
      </c>
      <c r="G9" t="str">
        <f t="shared" si="0"/>
        <v>private String  reason;</v>
      </c>
    </row>
    <row r="10" spans="1:11">
      <c r="A10" s="2" t="s">
        <v>237</v>
      </c>
      <c r="B10" t="s">
        <v>235</v>
      </c>
      <c r="C10" t="s">
        <v>239</v>
      </c>
      <c r="D10" t="s">
        <v>266</v>
      </c>
      <c r="E10" t="s">
        <v>75</v>
      </c>
      <c r="G10" t="str">
        <f t="shared" si="0"/>
        <v>private LocalDate tripStartDate;</v>
      </c>
    </row>
    <row r="11" spans="1:11">
      <c r="A11" s="2" t="s">
        <v>238</v>
      </c>
      <c r="B11" t="s">
        <v>235</v>
      </c>
      <c r="C11" t="s">
        <v>240</v>
      </c>
      <c r="D11" t="s">
        <v>267</v>
      </c>
      <c r="E11" t="s">
        <v>75</v>
      </c>
      <c r="G11" t="str">
        <f t="shared" si="0"/>
        <v>private LocalDate tripEndDate;</v>
      </c>
    </row>
    <row r="12" spans="1:11">
      <c r="A12" s="2" t="s">
        <v>242</v>
      </c>
      <c r="B12" t="s">
        <v>235</v>
      </c>
      <c r="C12" t="s">
        <v>241</v>
      </c>
      <c r="D12" t="s">
        <v>232</v>
      </c>
      <c r="E12" t="s">
        <v>222</v>
      </c>
      <c r="G12" t="str">
        <f t="shared" si="0"/>
        <v>private String  tripOrigin;</v>
      </c>
    </row>
    <row r="13" spans="1:11">
      <c r="A13" s="2" t="s">
        <v>243</v>
      </c>
      <c r="B13" t="s">
        <v>235</v>
      </c>
      <c r="C13" t="s">
        <v>270</v>
      </c>
      <c r="D13" t="s">
        <v>233</v>
      </c>
      <c r="E13" t="s">
        <v>222</v>
      </c>
      <c r="G13" t="str">
        <f t="shared" si="0"/>
        <v>private String  tripArrival;</v>
      </c>
    </row>
    <row r="14" spans="1:11">
      <c r="A14" s="2" t="s">
        <v>255</v>
      </c>
      <c r="B14" t="s">
        <v>235</v>
      </c>
      <c r="C14" t="s">
        <v>256</v>
      </c>
      <c r="D14" t="s">
        <v>251</v>
      </c>
      <c r="E14" t="s">
        <v>265</v>
      </c>
      <c r="G14" t="str">
        <f t="shared" si="0"/>
        <v>private double allowanceDuration;</v>
      </c>
    </row>
    <row r="15" spans="1:11">
      <c r="A15" s="2" t="s">
        <v>254</v>
      </c>
      <c r="B15" t="s">
        <v>235</v>
      </c>
      <c r="C15" t="s">
        <v>257</v>
      </c>
      <c r="D15" t="s">
        <v>258</v>
      </c>
      <c r="E15" t="s">
        <v>264</v>
      </c>
      <c r="G15" t="str">
        <f t="shared" si="0"/>
        <v>private BigDecimal allowanceExpense;</v>
      </c>
    </row>
    <row r="16" spans="1:11">
      <c r="A16" s="2" t="s">
        <v>252</v>
      </c>
      <c r="B16" t="s">
        <v>235</v>
      </c>
      <c r="C16" t="s">
        <v>259</v>
      </c>
      <c r="D16" t="s">
        <v>250</v>
      </c>
      <c r="E16" t="s">
        <v>222</v>
      </c>
      <c r="G16" t="str">
        <f t="shared" si="0"/>
        <v>private String  otherExpenseDesc;</v>
      </c>
    </row>
    <row r="17" spans="1:7">
      <c r="A17" s="2" t="s">
        <v>253</v>
      </c>
      <c r="B17" t="s">
        <v>235</v>
      </c>
      <c r="C17" t="s">
        <v>260</v>
      </c>
      <c r="D17" t="s">
        <v>244</v>
      </c>
      <c r="E17" t="s">
        <v>222</v>
      </c>
      <c r="G17" t="str">
        <f t="shared" si="0"/>
        <v>private String  otherExpense;</v>
      </c>
    </row>
    <row r="18" spans="1:7">
      <c r="A18" s="2" t="s">
        <v>249</v>
      </c>
      <c r="B18" t="s">
        <v>235</v>
      </c>
      <c r="C18" t="s">
        <v>245</v>
      </c>
      <c r="D18" t="s">
        <v>246</v>
      </c>
      <c r="E18" t="s">
        <v>264</v>
      </c>
      <c r="G18" t="str">
        <f t="shared" si="0"/>
        <v>private BigDecimal sum;</v>
      </c>
    </row>
    <row r="19" spans="1:7">
      <c r="A19" s="2" t="s">
        <v>271</v>
      </c>
      <c r="B19" t="s">
        <v>235</v>
      </c>
      <c r="C19" t="s">
        <v>272</v>
      </c>
      <c r="D19" t="s">
        <v>247</v>
      </c>
      <c r="E19" t="s">
        <v>222</v>
      </c>
      <c r="G19" t="str">
        <f t="shared" si="0"/>
        <v>private String  payeeId;</v>
      </c>
    </row>
    <row r="20" spans="1:7">
      <c r="A20" s="2" t="s">
        <v>273</v>
      </c>
      <c r="B20" t="s">
        <v>235</v>
      </c>
      <c r="C20" t="s">
        <v>274</v>
      </c>
      <c r="D20" t="s">
        <v>275</v>
      </c>
      <c r="E20" t="s">
        <v>222</v>
      </c>
      <c r="G20" t="str">
        <f t="shared" si="0"/>
        <v>private String  payeeName;</v>
      </c>
    </row>
    <row r="21" spans="1:7">
      <c r="A21" s="2" t="s">
        <v>248</v>
      </c>
      <c r="B21" t="s">
        <v>235</v>
      </c>
      <c r="C21" t="s">
        <v>167</v>
      </c>
      <c r="D21" t="s">
        <v>263</v>
      </c>
      <c r="E21" t="s">
        <v>72</v>
      </c>
      <c r="G21" t="str">
        <f t="shared" si="0"/>
        <v>private int sort;</v>
      </c>
    </row>
    <row r="22" spans="1:7">
      <c r="A22" s="2" t="s">
        <v>276</v>
      </c>
      <c r="B22" t="s">
        <v>235</v>
      </c>
      <c r="C22" s="17" t="s">
        <v>276</v>
      </c>
      <c r="D22" s="15" t="s">
        <v>277</v>
      </c>
      <c r="E22" t="s">
        <v>222</v>
      </c>
      <c r="G22" t="str">
        <f t="shared" si="0"/>
        <v>private String  transportation;</v>
      </c>
    </row>
    <row r="23" spans="1:7">
      <c r="A23" s="2" t="s">
        <v>300</v>
      </c>
      <c r="B23" t="s">
        <v>235</v>
      </c>
      <c r="C23" t="s">
        <v>301</v>
      </c>
      <c r="D23" t="s">
        <v>302</v>
      </c>
      <c r="E23" t="s">
        <v>264</v>
      </c>
      <c r="G23" t="str">
        <f>"private "&amp;E23&amp;" "&amp;C23&amp;";"</f>
        <v>private BigDecimal transExpense;</v>
      </c>
    </row>
    <row r="24" spans="1:7">
      <c r="A24" s="2" t="s">
        <v>292</v>
      </c>
      <c r="B24" t="s">
        <v>235</v>
      </c>
      <c r="C24" t="s">
        <v>125</v>
      </c>
      <c r="D24" t="s">
        <v>126</v>
      </c>
      <c r="E24" t="s">
        <v>222</v>
      </c>
      <c r="G24" t="str">
        <f t="shared" si="0"/>
        <v>private String  company;</v>
      </c>
    </row>
    <row r="25" spans="1:7">
      <c r="A25" s="2" t="s">
        <v>141</v>
      </c>
      <c r="C25" t="s">
        <v>141</v>
      </c>
      <c r="D25" t="s">
        <v>552</v>
      </c>
    </row>
  </sheetData>
  <phoneticPr fontId="1" type="noConversion"/>
  <hyperlinks>
    <hyperlink ref="D22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31" sqref="D31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234</v>
      </c>
    </row>
    <row r="2" spans="1:4">
      <c r="A2" s="2" t="s">
        <v>69</v>
      </c>
      <c r="B2" t="s">
        <v>235</v>
      </c>
    </row>
    <row r="3" spans="1:4">
      <c r="A3" s="2" t="s">
        <v>287</v>
      </c>
      <c r="B3" t="s">
        <v>288</v>
      </c>
    </row>
    <row r="4" spans="1:4">
      <c r="A4" s="2" t="s">
        <v>127</v>
      </c>
      <c r="B4" s="2" t="s">
        <v>33</v>
      </c>
      <c r="C4" s="2" t="s">
        <v>293</v>
      </c>
      <c r="D4" s="2" t="s">
        <v>269</v>
      </c>
    </row>
    <row r="5" spans="1:4">
      <c r="A5" s="2" t="s">
        <v>159</v>
      </c>
      <c r="B5" t="s">
        <v>290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289</v>
      </c>
      <c r="B6" t="s">
        <v>291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294</v>
      </c>
      <c r="B7" t="s">
        <v>295</v>
      </c>
      <c r="C7" t="s">
        <v>296</v>
      </c>
      <c r="D7" t="str">
        <f>"private "&amp;C7&amp;" "&amp;A7&amp;";"</f>
        <v>private List&lt;String&gt; staffList;</v>
      </c>
    </row>
    <row r="8" spans="1:4">
      <c r="A8" s="2" t="s">
        <v>297</v>
      </c>
      <c r="B8" t="s">
        <v>298</v>
      </c>
      <c r="C8" t="s">
        <v>299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55D4-8D79-4D70-91C8-EB8DCE467CF3}">
  <sheetPr codeName="Sheet11"/>
  <dimension ref="A1:P26"/>
  <sheetViews>
    <sheetView workbookViewId="0">
      <selection activeCell="H19" sqref="H19"/>
    </sheetView>
  </sheetViews>
  <sheetFormatPr defaultRowHeight="14.25"/>
  <cols>
    <col min="1" max="1" width="21.375" bestFit="1" customWidth="1"/>
    <col min="6" max="6" width="9.5" bestFit="1" customWidth="1"/>
    <col min="7" max="7" width="21.125" customWidth="1"/>
    <col min="8" max="8" width="10" bestFit="1" customWidth="1"/>
    <col min="9" max="9" width="21.125" customWidth="1"/>
    <col min="11" max="11" width="15.125" bestFit="1" customWidth="1"/>
    <col min="12" max="12" width="7.125" bestFit="1" customWidth="1"/>
    <col min="14" max="14" width="11" bestFit="1" customWidth="1"/>
    <col min="15" max="15" width="7.125" bestFit="1" customWidth="1"/>
  </cols>
  <sheetData>
    <row r="1" spans="1:3">
      <c r="A1" s="2" t="s">
        <v>469</v>
      </c>
      <c r="B1" s="2" t="s">
        <v>470</v>
      </c>
    </row>
    <row r="2" spans="1:3">
      <c r="A2" s="2"/>
    </row>
    <row r="3" spans="1:3">
      <c r="A3" s="2" t="s">
        <v>471</v>
      </c>
    </row>
    <row r="4" spans="1:3">
      <c r="A4" t="s">
        <v>472</v>
      </c>
      <c r="B4" t="s">
        <v>474</v>
      </c>
      <c r="C4" t="s">
        <v>480</v>
      </c>
    </row>
    <row r="5" spans="1:3">
      <c r="A5" t="s">
        <v>473</v>
      </c>
      <c r="B5" t="s">
        <v>475</v>
      </c>
      <c r="C5" t="s">
        <v>483</v>
      </c>
    </row>
    <row r="6" spans="1:3">
      <c r="B6" t="s">
        <v>476</v>
      </c>
      <c r="C6" t="s">
        <v>483</v>
      </c>
    </row>
    <row r="7" spans="1:3">
      <c r="A7" t="s">
        <v>477</v>
      </c>
      <c r="B7" t="s">
        <v>236</v>
      </c>
      <c r="C7" t="s">
        <v>480</v>
      </c>
    </row>
    <row r="8" spans="1:3">
      <c r="A8" t="s">
        <v>478</v>
      </c>
      <c r="B8" t="s">
        <v>481</v>
      </c>
      <c r="C8" t="s">
        <v>482</v>
      </c>
    </row>
    <row r="9" spans="1:3">
      <c r="A9" t="s">
        <v>479</v>
      </c>
      <c r="B9" t="s">
        <v>118</v>
      </c>
      <c r="C9" t="s">
        <v>480</v>
      </c>
    </row>
    <row r="11" spans="1:3">
      <c r="A11" s="2" t="s">
        <v>484</v>
      </c>
    </row>
    <row r="12" spans="1:3">
      <c r="A12" t="s">
        <v>479</v>
      </c>
    </row>
    <row r="13" spans="1:3">
      <c r="A13" t="s">
        <v>485</v>
      </c>
      <c r="B13" t="s">
        <v>486</v>
      </c>
    </row>
    <row r="14" spans="1:3">
      <c r="B14" t="s">
        <v>487</v>
      </c>
    </row>
    <row r="15" spans="1:3">
      <c r="A15" t="s">
        <v>231</v>
      </c>
    </row>
    <row r="16" spans="1:3">
      <c r="A16" t="s">
        <v>488</v>
      </c>
    </row>
    <row r="17" spans="1:16">
      <c r="A17" t="s">
        <v>489</v>
      </c>
    </row>
    <row r="18" spans="1:16">
      <c r="A18" t="s">
        <v>491</v>
      </c>
    </row>
    <row r="19" spans="1:16">
      <c r="A19" t="s">
        <v>490</v>
      </c>
    </row>
    <row r="20" spans="1:16">
      <c r="A20" t="s">
        <v>500</v>
      </c>
    </row>
    <row r="22" spans="1:16">
      <c r="F22" t="s">
        <v>505</v>
      </c>
    </row>
    <row r="23" spans="1:16">
      <c r="F23" s="30" t="s">
        <v>479</v>
      </c>
      <c r="G23" s="30" t="s">
        <v>485</v>
      </c>
      <c r="H23" s="30"/>
      <c r="I23" s="30"/>
      <c r="J23" s="30" t="s">
        <v>231</v>
      </c>
      <c r="K23" s="30" t="s">
        <v>501</v>
      </c>
      <c r="L23" s="30" t="s">
        <v>488</v>
      </c>
      <c r="M23" s="30" t="s">
        <v>489</v>
      </c>
      <c r="N23" s="30" t="s">
        <v>491</v>
      </c>
      <c r="O23" s="30" t="s">
        <v>490</v>
      </c>
      <c r="P23" s="30" t="s">
        <v>500</v>
      </c>
    </row>
    <row r="24" spans="1:16">
      <c r="F24" s="30"/>
      <c r="G24" s="24" t="s">
        <v>671</v>
      </c>
      <c r="H24" s="24" t="s">
        <v>492</v>
      </c>
      <c r="I24" s="24" t="s">
        <v>278</v>
      </c>
      <c r="J24" s="30"/>
      <c r="K24" s="30"/>
      <c r="L24" s="30"/>
      <c r="M24" s="30"/>
      <c r="N24" s="30"/>
      <c r="O24" s="30"/>
      <c r="P24" s="30"/>
    </row>
    <row r="25" spans="1:16">
      <c r="F25" s="29">
        <v>20222222</v>
      </c>
      <c r="G25" s="23" t="s">
        <v>493</v>
      </c>
      <c r="H25" s="22" t="s">
        <v>494</v>
      </c>
      <c r="I25" s="22" t="s">
        <v>284</v>
      </c>
      <c r="J25" s="29" t="s">
        <v>495</v>
      </c>
      <c r="K25" s="29" t="s">
        <v>502</v>
      </c>
      <c r="L25" s="29" t="s">
        <v>496</v>
      </c>
      <c r="M25" s="29" t="s">
        <v>497</v>
      </c>
      <c r="N25" s="29" t="s">
        <v>498</v>
      </c>
      <c r="O25" s="29" t="s">
        <v>499</v>
      </c>
      <c r="P25" s="29"/>
    </row>
    <row r="26" spans="1:16">
      <c r="F26" s="29"/>
      <c r="G26" s="22" t="s">
        <v>503</v>
      </c>
      <c r="H26" s="22" t="s">
        <v>504</v>
      </c>
      <c r="I26" s="22" t="s">
        <v>284</v>
      </c>
      <c r="J26" s="29"/>
      <c r="K26" s="29"/>
      <c r="L26" s="29"/>
      <c r="M26" s="29"/>
      <c r="N26" s="29"/>
      <c r="O26" s="29"/>
      <c r="P26" s="29"/>
    </row>
  </sheetData>
  <mergeCells count="17">
    <mergeCell ref="O25:O26"/>
    <mergeCell ref="P25:P26"/>
    <mergeCell ref="N23:N24"/>
    <mergeCell ref="O23:O24"/>
    <mergeCell ref="P23:P24"/>
    <mergeCell ref="M25:M26"/>
    <mergeCell ref="N25:N26"/>
    <mergeCell ref="G23:I23"/>
    <mergeCell ref="F23:F24"/>
    <mergeCell ref="J23:J24"/>
    <mergeCell ref="L23:L24"/>
    <mergeCell ref="M23:M24"/>
    <mergeCell ref="K23:K24"/>
    <mergeCell ref="F25:F26"/>
    <mergeCell ref="J25:J26"/>
    <mergeCell ref="K25:K26"/>
    <mergeCell ref="L25:L2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7D39E-7DFB-4E17-B38C-028C5711CD5D}">
  <sheetPr codeName="Sheet12"/>
  <dimension ref="A1:K20"/>
  <sheetViews>
    <sheetView tabSelected="1" workbookViewId="0">
      <selection activeCell="K4" sqref="K4:K20"/>
    </sheetView>
  </sheetViews>
  <sheetFormatPr defaultRowHeight="14.25"/>
  <cols>
    <col min="2" max="2" width="14.875" bestFit="1" customWidth="1"/>
    <col min="3" max="3" width="17.125" bestFit="1" customWidth="1"/>
    <col min="4" max="4" width="13.375" customWidth="1"/>
    <col min="7" max="7" width="65.625" bestFit="1" customWidth="1"/>
    <col min="8" max="8" width="24.875" bestFit="1" customWidth="1"/>
    <col min="9" max="9" width="16" customWidth="1"/>
  </cols>
  <sheetData>
    <row r="1" spans="1:11">
      <c r="A1" s="2" t="s">
        <v>67</v>
      </c>
      <c r="B1" t="s">
        <v>506</v>
      </c>
      <c r="D1" t="s">
        <v>507</v>
      </c>
      <c r="G1" s="19"/>
    </row>
    <row r="2" spans="1:11">
      <c r="A2" s="2" t="s">
        <v>69</v>
      </c>
      <c r="B2" t="s">
        <v>508</v>
      </c>
      <c r="G2" s="20"/>
      <c r="I2">
        <f>COLUMN()</f>
        <v>9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  <c r="J3" s="2" t="s">
        <v>677</v>
      </c>
    </row>
    <row r="4" spans="1:11">
      <c r="A4" s="2" t="s">
        <v>118</v>
      </c>
      <c r="B4" t="s">
        <v>508</v>
      </c>
      <c r="C4" t="s">
        <v>118</v>
      </c>
      <c r="E4" t="s">
        <v>70</v>
      </c>
      <c r="F4" t="s">
        <v>54</v>
      </c>
      <c r="G4" t="s">
        <v>417</v>
      </c>
      <c r="H4" t="s">
        <v>360</v>
      </c>
      <c r="I4" t="s">
        <v>569</v>
      </c>
      <c r="J4" t="s">
        <v>732</v>
      </c>
      <c r="K4" t="s">
        <v>733</v>
      </c>
    </row>
    <row r="5" spans="1:11">
      <c r="A5" s="2" t="s">
        <v>320</v>
      </c>
      <c r="C5" t="s">
        <v>320</v>
      </c>
      <c r="D5" t="s">
        <v>305</v>
      </c>
      <c r="E5" t="s">
        <v>70</v>
      </c>
      <c r="G5" t="s">
        <v>536</v>
      </c>
      <c r="H5" t="s">
        <v>364</v>
      </c>
      <c r="I5" t="s">
        <v>570</v>
      </c>
      <c r="J5" t="s">
        <v>734</v>
      </c>
      <c r="K5" t="s">
        <v>735</v>
      </c>
    </row>
    <row r="6" spans="1:11">
      <c r="A6" s="2" t="s">
        <v>531</v>
      </c>
      <c r="C6" t="s">
        <v>532</v>
      </c>
      <c r="D6" t="s">
        <v>533</v>
      </c>
      <c r="E6" t="s">
        <v>72</v>
      </c>
      <c r="G6" t="s">
        <v>718</v>
      </c>
      <c r="H6" t="s">
        <v>537</v>
      </c>
      <c r="I6" t="s">
        <v>719</v>
      </c>
      <c r="J6" t="s">
        <v>736</v>
      </c>
      <c r="K6" t="s">
        <v>737</v>
      </c>
    </row>
    <row r="7" spans="1:11">
      <c r="A7" s="2" t="s">
        <v>520</v>
      </c>
      <c r="C7" t="s">
        <v>521</v>
      </c>
      <c r="D7" t="s">
        <v>509</v>
      </c>
      <c r="E7" t="s">
        <v>265</v>
      </c>
      <c r="G7" t="s">
        <v>720</v>
      </c>
      <c r="H7" t="s">
        <v>538</v>
      </c>
      <c r="I7" t="s">
        <v>721</v>
      </c>
      <c r="J7" t="s">
        <v>738</v>
      </c>
      <c r="K7" t="s">
        <v>739</v>
      </c>
    </row>
    <row r="8" spans="1:11">
      <c r="A8" s="2" t="s">
        <v>580</v>
      </c>
      <c r="C8" t="s">
        <v>510</v>
      </c>
      <c r="D8" t="s">
        <v>511</v>
      </c>
      <c r="E8" t="s">
        <v>70</v>
      </c>
      <c r="G8" t="s">
        <v>619</v>
      </c>
      <c r="H8" t="s">
        <v>539</v>
      </c>
      <c r="I8" t="s">
        <v>722</v>
      </c>
      <c r="J8" t="s">
        <v>740</v>
      </c>
      <c r="K8" t="s">
        <v>741</v>
      </c>
    </row>
    <row r="9" spans="1:11">
      <c r="A9" s="2" t="s">
        <v>579</v>
      </c>
      <c r="C9" t="s">
        <v>512</v>
      </c>
      <c r="D9" t="s">
        <v>513</v>
      </c>
      <c r="E9" t="s">
        <v>70</v>
      </c>
      <c r="G9" t="s">
        <v>723</v>
      </c>
      <c r="H9" t="s">
        <v>540</v>
      </c>
      <c r="I9" t="s">
        <v>724</v>
      </c>
      <c r="J9" t="s">
        <v>742</v>
      </c>
      <c r="K9" t="s">
        <v>743</v>
      </c>
    </row>
    <row r="10" spans="1:11">
      <c r="A10" s="2" t="s">
        <v>581</v>
      </c>
      <c r="C10" t="s">
        <v>514</v>
      </c>
      <c r="D10" t="s">
        <v>515</v>
      </c>
      <c r="E10" t="s">
        <v>70</v>
      </c>
      <c r="G10" t="s">
        <v>616</v>
      </c>
      <c r="H10" t="s">
        <v>541</v>
      </c>
      <c r="I10" t="s">
        <v>725</v>
      </c>
      <c r="J10" t="s">
        <v>744</v>
      </c>
      <c r="K10" t="s">
        <v>745</v>
      </c>
    </row>
    <row r="11" spans="1:11">
      <c r="A11" s="2" t="s">
        <v>582</v>
      </c>
      <c r="C11" t="s">
        <v>516</v>
      </c>
      <c r="D11" t="s">
        <v>517</v>
      </c>
      <c r="E11" t="s">
        <v>265</v>
      </c>
      <c r="G11" t="s">
        <v>726</v>
      </c>
      <c r="H11" t="s">
        <v>542</v>
      </c>
      <c r="I11" t="s">
        <v>727</v>
      </c>
      <c r="J11" t="s">
        <v>746</v>
      </c>
      <c r="K11" t="s">
        <v>747</v>
      </c>
    </row>
    <row r="12" spans="1:11">
      <c r="A12" s="2" t="s">
        <v>519</v>
      </c>
      <c r="C12" t="s">
        <v>518</v>
      </c>
      <c r="D12" t="s">
        <v>522</v>
      </c>
      <c r="E12" t="s">
        <v>265</v>
      </c>
      <c r="G12" t="s">
        <v>728</v>
      </c>
      <c r="H12" t="s">
        <v>543</v>
      </c>
      <c r="I12" t="s">
        <v>729</v>
      </c>
      <c r="J12" t="s">
        <v>748</v>
      </c>
      <c r="K12" t="s">
        <v>749</v>
      </c>
    </row>
    <row r="13" spans="1:11">
      <c r="A13" s="2" t="s">
        <v>523</v>
      </c>
      <c r="C13" t="s">
        <v>524</v>
      </c>
      <c r="D13" t="s">
        <v>525</v>
      </c>
      <c r="E13" t="s">
        <v>72</v>
      </c>
      <c r="G13" t="s">
        <v>730</v>
      </c>
      <c r="H13" t="s">
        <v>572</v>
      </c>
      <c r="I13" t="s">
        <v>731</v>
      </c>
      <c r="J13" t="s">
        <v>750</v>
      </c>
      <c r="K13" t="s">
        <v>751</v>
      </c>
    </row>
    <row r="14" spans="1:11">
      <c r="A14" s="2" t="s">
        <v>526</v>
      </c>
      <c r="C14" t="s">
        <v>527</v>
      </c>
      <c r="D14" t="s">
        <v>528</v>
      </c>
      <c r="E14" t="s">
        <v>70</v>
      </c>
      <c r="G14" t="s">
        <v>544</v>
      </c>
      <c r="H14" t="s">
        <v>545</v>
      </c>
      <c r="I14" t="s">
        <v>573</v>
      </c>
      <c r="J14" t="s">
        <v>752</v>
      </c>
      <c r="K14" t="s">
        <v>753</v>
      </c>
    </row>
    <row r="15" spans="1:11">
      <c r="A15" s="2" t="s">
        <v>529</v>
      </c>
      <c r="C15" t="s">
        <v>530</v>
      </c>
      <c r="D15" t="s">
        <v>397</v>
      </c>
      <c r="E15" t="s">
        <v>70</v>
      </c>
      <c r="G15" t="s">
        <v>546</v>
      </c>
      <c r="H15" t="s">
        <v>547</v>
      </c>
      <c r="I15" t="s">
        <v>574</v>
      </c>
      <c r="J15" t="s">
        <v>754</v>
      </c>
      <c r="K15" t="s">
        <v>755</v>
      </c>
    </row>
    <row r="16" spans="1:11">
      <c r="A16" s="2" t="s">
        <v>335</v>
      </c>
      <c r="C16" t="s">
        <v>336</v>
      </c>
      <c r="D16" t="s">
        <v>122</v>
      </c>
      <c r="E16" t="s">
        <v>70</v>
      </c>
      <c r="G16" t="s">
        <v>429</v>
      </c>
      <c r="H16" t="s">
        <v>372</v>
      </c>
      <c r="I16" t="s">
        <v>575</v>
      </c>
      <c r="J16" t="s">
        <v>756</v>
      </c>
      <c r="K16" t="s">
        <v>757</v>
      </c>
    </row>
    <row r="17" spans="1:11" ht="13.5" customHeight="1">
      <c r="A17" s="2" t="s">
        <v>337</v>
      </c>
      <c r="C17" t="s">
        <v>338</v>
      </c>
      <c r="D17" t="s">
        <v>120</v>
      </c>
      <c r="E17" t="s">
        <v>70</v>
      </c>
      <c r="G17" t="s">
        <v>430</v>
      </c>
      <c r="H17" t="s">
        <v>373</v>
      </c>
      <c r="I17" t="s">
        <v>576</v>
      </c>
      <c r="J17" t="s">
        <v>758</v>
      </c>
      <c r="K17" t="s">
        <v>759</v>
      </c>
    </row>
    <row r="18" spans="1:11">
      <c r="A18" s="4" t="s">
        <v>129</v>
      </c>
      <c r="C18" s="6" t="s">
        <v>131</v>
      </c>
      <c r="D18" t="s">
        <v>534</v>
      </c>
      <c r="E18" t="s">
        <v>70</v>
      </c>
      <c r="G18" t="s">
        <v>548</v>
      </c>
      <c r="H18" t="s">
        <v>549</v>
      </c>
      <c r="I18" t="s">
        <v>577</v>
      </c>
      <c r="J18" t="s">
        <v>760</v>
      </c>
      <c r="K18" t="s">
        <v>761</v>
      </c>
    </row>
    <row r="19" spans="1:11">
      <c r="A19" s="7" t="s">
        <v>130</v>
      </c>
      <c r="C19" t="s">
        <v>132</v>
      </c>
      <c r="D19" t="s">
        <v>535</v>
      </c>
      <c r="E19" t="s">
        <v>70</v>
      </c>
      <c r="G19" t="s">
        <v>550</v>
      </c>
      <c r="H19" t="s">
        <v>551</v>
      </c>
      <c r="I19" t="s">
        <v>578</v>
      </c>
      <c r="J19" t="s">
        <v>762</v>
      </c>
      <c r="K19" t="s">
        <v>763</v>
      </c>
    </row>
    <row r="20" spans="1:11">
      <c r="A20" s="7" t="s">
        <v>141</v>
      </c>
      <c r="C20" t="s">
        <v>141</v>
      </c>
      <c r="D20" t="s">
        <v>552</v>
      </c>
      <c r="E20" t="s">
        <v>70</v>
      </c>
      <c r="G20" t="s">
        <v>567</v>
      </c>
      <c r="H20" t="s">
        <v>568</v>
      </c>
      <c r="I20" t="s">
        <v>571</v>
      </c>
      <c r="J20" t="s">
        <v>764</v>
      </c>
      <c r="K20" t="s">
        <v>765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JavaEntityCode">
                <anchor moveWithCells="1" sizeWithCells="1">
                  <from>
                    <xdr:col>8</xdr:col>
                    <xdr:colOff>1162050</xdr:colOff>
                    <xdr:row>22</xdr:row>
                    <xdr:rowOff>95250</xdr:rowOff>
                  </from>
                  <to>
                    <xdr:col>10</xdr:col>
                    <xdr:colOff>657225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450-B887-4AF1-895E-622D03A875D9}">
  <sheetPr codeName="Sheet13"/>
  <dimension ref="A1:F18"/>
  <sheetViews>
    <sheetView workbookViewId="0">
      <selection activeCell="L25" sqref="L25"/>
    </sheetView>
  </sheetViews>
  <sheetFormatPr defaultRowHeight="14.25"/>
  <sheetData>
    <row r="1" spans="1:4">
      <c r="A1" s="2" t="s">
        <v>553</v>
      </c>
    </row>
    <row r="2" spans="1:4">
      <c r="A2" t="s">
        <v>554</v>
      </c>
    </row>
    <row r="4" spans="1:4">
      <c r="A4" s="2" t="s">
        <v>555</v>
      </c>
    </row>
    <row r="5" spans="1:4">
      <c r="A5" s="2" t="s">
        <v>471</v>
      </c>
    </row>
    <row r="6" spans="1:4">
      <c r="A6" t="s">
        <v>472</v>
      </c>
      <c r="B6" t="s">
        <v>474</v>
      </c>
      <c r="C6" t="s">
        <v>480</v>
      </c>
    </row>
    <row r="7" spans="1:4">
      <c r="A7" t="s">
        <v>473</v>
      </c>
      <c r="B7" t="s">
        <v>475</v>
      </c>
      <c r="C7" t="s">
        <v>483</v>
      </c>
    </row>
    <row r="8" spans="1:4">
      <c r="B8" t="s">
        <v>476</v>
      </c>
      <c r="C8" t="s">
        <v>483</v>
      </c>
    </row>
    <row r="9" spans="1:4">
      <c r="A9" t="s">
        <v>478</v>
      </c>
      <c r="B9" t="s">
        <v>481</v>
      </c>
      <c r="C9" t="s">
        <v>482</v>
      </c>
    </row>
    <row r="10" spans="1:4">
      <c r="A10" t="s">
        <v>479</v>
      </c>
      <c r="B10" t="s">
        <v>118</v>
      </c>
      <c r="C10" t="s">
        <v>480</v>
      </c>
    </row>
    <row r="11" spans="1:4">
      <c r="A11" t="s">
        <v>511</v>
      </c>
      <c r="B11" t="s">
        <v>510</v>
      </c>
      <c r="C11" t="s">
        <v>480</v>
      </c>
      <c r="D11" t="s">
        <v>556</v>
      </c>
    </row>
    <row r="12" spans="1:4">
      <c r="A12" t="s">
        <v>515</v>
      </c>
      <c r="B12" t="s">
        <v>514</v>
      </c>
      <c r="C12" t="s">
        <v>480</v>
      </c>
      <c r="D12" t="s">
        <v>556</v>
      </c>
    </row>
    <row r="17" spans="1:6">
      <c r="A17" t="s">
        <v>557</v>
      </c>
      <c r="B17" t="s">
        <v>558</v>
      </c>
      <c r="C17" t="s">
        <v>559</v>
      </c>
      <c r="D17" t="s">
        <v>560</v>
      </c>
      <c r="E17" t="s">
        <v>561</v>
      </c>
      <c r="F17" t="s">
        <v>515</v>
      </c>
    </row>
    <row r="18" spans="1:6">
      <c r="A18" t="str">
        <f>_xlfn.CONCAT(A17:F17)</f>
        <v>申请人 申请日期（起止日期） 流程状态 审批编号 合同名称 合同编号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4965-80CE-47AB-A2A4-3EAD900BAE59}">
  <sheetPr codeName="Sheet14"/>
  <dimension ref="A1:I15"/>
  <sheetViews>
    <sheetView workbookViewId="0">
      <selection activeCell="H24" sqref="H24"/>
    </sheetView>
  </sheetViews>
  <sheetFormatPr defaultRowHeight="14.25"/>
  <cols>
    <col min="2" max="2" width="32.75" customWidth="1"/>
    <col min="7" max="7" width="52.625" bestFit="1" customWidth="1"/>
    <col min="8" max="8" width="27.5" bestFit="1" customWidth="1"/>
  </cols>
  <sheetData>
    <row r="1" spans="1:9">
      <c r="A1" s="2" t="s">
        <v>67</v>
      </c>
      <c r="B1" t="s">
        <v>584</v>
      </c>
      <c r="D1" t="s">
        <v>583</v>
      </c>
      <c r="G1" s="19"/>
    </row>
    <row r="2" spans="1:9">
      <c r="A2" s="2" t="s">
        <v>69</v>
      </c>
      <c r="B2" t="s">
        <v>585</v>
      </c>
      <c r="G2" s="20"/>
      <c r="I2">
        <f>COLUMN()</f>
        <v>9</v>
      </c>
    </row>
    <row r="3" spans="1:9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</row>
    <row r="4" spans="1:9">
      <c r="A4" s="2" t="s">
        <v>118</v>
      </c>
      <c r="B4" t="s">
        <v>585</v>
      </c>
      <c r="C4" t="s">
        <v>118</v>
      </c>
      <c r="E4" t="s">
        <v>70</v>
      </c>
      <c r="F4" t="s">
        <v>54</v>
      </c>
      <c r="G4" t="s">
        <v>562</v>
      </c>
      <c r="H4" t="s">
        <v>360</v>
      </c>
      <c r="I4" t="s">
        <v>569</v>
      </c>
    </row>
    <row r="5" spans="1:9">
      <c r="A5" s="2" t="s">
        <v>586</v>
      </c>
      <c r="C5" t="s">
        <v>35</v>
      </c>
      <c r="D5" t="s">
        <v>587</v>
      </c>
      <c r="E5" t="s">
        <v>72</v>
      </c>
      <c r="G5" t="s">
        <v>602</v>
      </c>
      <c r="H5" t="s">
        <v>604</v>
      </c>
      <c r="I5" t="s">
        <v>603</v>
      </c>
    </row>
    <row r="6" spans="1:9">
      <c r="A6" s="2" t="s">
        <v>229</v>
      </c>
      <c r="C6" t="s">
        <v>224</v>
      </c>
      <c r="D6" t="s">
        <v>588</v>
      </c>
      <c r="E6" t="s">
        <v>70</v>
      </c>
      <c r="G6" t="s">
        <v>594</v>
      </c>
      <c r="H6" t="s">
        <v>605</v>
      </c>
      <c r="I6" t="s">
        <v>595</v>
      </c>
    </row>
    <row r="7" spans="1:9">
      <c r="A7" s="2" t="s">
        <v>230</v>
      </c>
      <c r="C7" t="s">
        <v>225</v>
      </c>
      <c r="E7" t="s">
        <v>70</v>
      </c>
      <c r="G7" t="s">
        <v>596</v>
      </c>
      <c r="H7" t="s">
        <v>606</v>
      </c>
      <c r="I7" t="s">
        <v>597</v>
      </c>
    </row>
    <row r="8" spans="1:9">
      <c r="A8" s="2" t="s">
        <v>589</v>
      </c>
      <c r="C8" t="s">
        <v>590</v>
      </c>
      <c r="D8" t="s">
        <v>591</v>
      </c>
      <c r="E8" t="s">
        <v>265</v>
      </c>
      <c r="G8" t="s">
        <v>607</v>
      </c>
      <c r="H8" t="s">
        <v>609</v>
      </c>
      <c r="I8" t="s">
        <v>608</v>
      </c>
    </row>
    <row r="9" spans="1:9">
      <c r="A9" s="2" t="s">
        <v>261</v>
      </c>
      <c r="C9" t="s">
        <v>55</v>
      </c>
      <c r="D9" t="s">
        <v>592</v>
      </c>
      <c r="E9" t="s">
        <v>70</v>
      </c>
      <c r="G9" t="s">
        <v>598</v>
      </c>
      <c r="H9" t="s">
        <v>363</v>
      </c>
      <c r="I9" t="s">
        <v>599</v>
      </c>
    </row>
    <row r="10" spans="1:9">
      <c r="A10" s="2" t="s">
        <v>320</v>
      </c>
      <c r="C10" t="s">
        <v>320</v>
      </c>
      <c r="D10" t="s">
        <v>305</v>
      </c>
      <c r="E10" t="s">
        <v>70</v>
      </c>
      <c r="G10" t="s">
        <v>563</v>
      </c>
      <c r="H10" t="s">
        <v>364</v>
      </c>
      <c r="I10" t="s">
        <v>570</v>
      </c>
    </row>
    <row r="11" spans="1:9">
      <c r="A11" s="2" t="s">
        <v>529</v>
      </c>
      <c r="C11" t="s">
        <v>530</v>
      </c>
      <c r="D11" t="s">
        <v>397</v>
      </c>
      <c r="E11" t="s">
        <v>70</v>
      </c>
      <c r="G11" t="s">
        <v>564</v>
      </c>
      <c r="H11" t="s">
        <v>547</v>
      </c>
      <c r="I11" t="s">
        <v>574</v>
      </c>
    </row>
    <row r="12" spans="1:9">
      <c r="A12" s="2" t="s">
        <v>335</v>
      </c>
      <c r="C12" t="s">
        <v>336</v>
      </c>
      <c r="D12" t="s">
        <v>122</v>
      </c>
      <c r="E12" t="s">
        <v>70</v>
      </c>
      <c r="G12" t="s">
        <v>565</v>
      </c>
      <c r="H12" t="s">
        <v>372</v>
      </c>
      <c r="I12" t="s">
        <v>575</v>
      </c>
    </row>
    <row r="13" spans="1:9">
      <c r="A13" s="2" t="s">
        <v>337</v>
      </c>
      <c r="C13" t="s">
        <v>338</v>
      </c>
      <c r="D13" t="s">
        <v>120</v>
      </c>
      <c r="E13" t="s">
        <v>70</v>
      </c>
      <c r="G13" t="s">
        <v>566</v>
      </c>
      <c r="H13" t="s">
        <v>373</v>
      </c>
      <c r="I13" t="s">
        <v>576</v>
      </c>
    </row>
    <row r="14" spans="1:9">
      <c r="A14" s="2" t="s">
        <v>386</v>
      </c>
      <c r="C14" t="s">
        <v>387</v>
      </c>
      <c r="D14" t="s">
        <v>593</v>
      </c>
      <c r="E14" t="s">
        <v>70</v>
      </c>
      <c r="G14" t="s">
        <v>600</v>
      </c>
      <c r="H14" t="s">
        <v>401</v>
      </c>
      <c r="I14" t="s">
        <v>601</v>
      </c>
    </row>
    <row r="15" spans="1:9">
      <c r="A15" s="2" t="s">
        <v>141</v>
      </c>
      <c r="C15" t="s">
        <v>141</v>
      </c>
      <c r="D15" t="s">
        <v>668</v>
      </c>
      <c r="E15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4E28-8396-49CF-A787-BF1D5A7F8B06}">
  <sheetPr codeName="Sheet15"/>
  <dimension ref="A1:R25"/>
  <sheetViews>
    <sheetView topLeftCell="A6" workbookViewId="0">
      <selection activeCell="I31" sqref="I31"/>
    </sheetView>
  </sheetViews>
  <sheetFormatPr defaultRowHeight="14.25"/>
  <cols>
    <col min="1" max="1" width="16.75" bestFit="1" customWidth="1"/>
    <col min="2" max="2" width="10.5" customWidth="1"/>
    <col min="3" max="3" width="15.375" bestFit="1" customWidth="1"/>
    <col min="4" max="4" width="38.5" bestFit="1" customWidth="1"/>
    <col min="9" max="9" width="49" bestFit="1" customWidth="1"/>
    <col min="10" max="10" width="23.375" customWidth="1"/>
  </cols>
  <sheetData>
    <row r="1" spans="1:11">
      <c r="A1" s="2" t="s">
        <v>67</v>
      </c>
      <c r="B1" t="s">
        <v>610</v>
      </c>
      <c r="D1" t="s">
        <v>611</v>
      </c>
      <c r="G1" s="19"/>
    </row>
    <row r="2" spans="1:11">
      <c r="A2" s="2" t="s">
        <v>69</v>
      </c>
      <c r="B2" t="s">
        <v>612</v>
      </c>
      <c r="G2" s="20"/>
      <c r="I2">
        <f>COLUMN()</f>
        <v>9</v>
      </c>
    </row>
    <row r="3" spans="1:11" s="2" customFormat="1" ht="28.5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  <c r="J3" s="2" t="s">
        <v>677</v>
      </c>
      <c r="K3" s="2" t="s">
        <v>699</v>
      </c>
    </row>
    <row r="4" spans="1:11">
      <c r="A4" s="2" t="s">
        <v>118</v>
      </c>
      <c r="B4" t="s">
        <v>612</v>
      </c>
      <c r="C4" t="s">
        <v>118</v>
      </c>
      <c r="E4" t="s">
        <v>70</v>
      </c>
      <c r="G4" t="s">
        <v>417</v>
      </c>
      <c r="H4" t="s">
        <v>360</v>
      </c>
      <c r="I4" t="s">
        <v>569</v>
      </c>
      <c r="J4" t="s">
        <v>681</v>
      </c>
      <c r="K4" t="s">
        <v>700</v>
      </c>
    </row>
    <row r="5" spans="1:11">
      <c r="A5" s="2" t="s">
        <v>655</v>
      </c>
      <c r="C5" t="s">
        <v>660</v>
      </c>
      <c r="D5" t="s">
        <v>656</v>
      </c>
      <c r="E5" t="s">
        <v>70</v>
      </c>
      <c r="G5" t="s">
        <v>658</v>
      </c>
      <c r="H5" t="s">
        <v>663</v>
      </c>
      <c r="I5" t="s">
        <v>662</v>
      </c>
      <c r="J5" t="s">
        <v>682</v>
      </c>
      <c r="K5" t="s">
        <v>701</v>
      </c>
    </row>
    <row r="6" spans="1:11">
      <c r="A6" s="2" t="s">
        <v>657</v>
      </c>
      <c r="C6" t="s">
        <v>661</v>
      </c>
      <c r="D6" t="s">
        <v>623</v>
      </c>
      <c r="E6" t="s">
        <v>70</v>
      </c>
      <c r="G6" t="s">
        <v>659</v>
      </c>
      <c r="H6" t="s">
        <v>665</v>
      </c>
      <c r="I6" t="s">
        <v>664</v>
      </c>
      <c r="J6" t="s">
        <v>683</v>
      </c>
      <c r="K6" t="s">
        <v>702</v>
      </c>
    </row>
    <row r="7" spans="1:11">
      <c r="A7" s="2" t="s">
        <v>383</v>
      </c>
      <c r="C7" t="s">
        <v>384</v>
      </c>
      <c r="D7" t="s">
        <v>624</v>
      </c>
      <c r="E7" t="s">
        <v>70</v>
      </c>
      <c r="G7" t="s">
        <v>447</v>
      </c>
      <c r="H7" t="s">
        <v>400</v>
      </c>
      <c r="I7" t="s">
        <v>636</v>
      </c>
      <c r="J7" t="s">
        <v>684</v>
      </c>
      <c r="K7" t="s">
        <v>703</v>
      </c>
    </row>
    <row r="8" spans="1:11">
      <c r="A8" s="2" t="s">
        <v>582</v>
      </c>
      <c r="C8" t="s">
        <v>666</v>
      </c>
      <c r="D8" t="s">
        <v>517</v>
      </c>
      <c r="E8" t="s">
        <v>71</v>
      </c>
      <c r="G8" t="s">
        <v>447</v>
      </c>
      <c r="H8" t="s">
        <v>667</v>
      </c>
      <c r="I8" t="s">
        <v>678</v>
      </c>
      <c r="J8" t="s">
        <v>685</v>
      </c>
      <c r="K8" t="s">
        <v>704</v>
      </c>
    </row>
    <row r="9" spans="1:11">
      <c r="A9" s="2" t="s">
        <v>581</v>
      </c>
      <c r="C9" t="s">
        <v>613</v>
      </c>
      <c r="D9" t="s">
        <v>515</v>
      </c>
      <c r="E9" t="s">
        <v>70</v>
      </c>
      <c r="G9" t="s">
        <v>616</v>
      </c>
      <c r="H9" t="s">
        <v>618</v>
      </c>
      <c r="I9" t="s">
        <v>617</v>
      </c>
      <c r="J9" t="s">
        <v>686</v>
      </c>
      <c r="K9" t="s">
        <v>705</v>
      </c>
    </row>
    <row r="10" spans="1:11">
      <c r="A10" s="2" t="s">
        <v>580</v>
      </c>
      <c r="C10" t="s">
        <v>614</v>
      </c>
      <c r="D10" t="s">
        <v>511</v>
      </c>
      <c r="E10" t="s">
        <v>70</v>
      </c>
      <c r="G10" t="s">
        <v>619</v>
      </c>
      <c r="H10" t="s">
        <v>621</v>
      </c>
      <c r="I10" t="s">
        <v>620</v>
      </c>
      <c r="J10" t="s">
        <v>687</v>
      </c>
      <c r="K10" t="s">
        <v>706</v>
      </c>
    </row>
    <row r="11" spans="1:11">
      <c r="A11" s="2" t="s">
        <v>320</v>
      </c>
      <c r="C11" t="s">
        <v>320</v>
      </c>
      <c r="D11" t="s">
        <v>305</v>
      </c>
      <c r="E11" t="s">
        <v>70</v>
      </c>
      <c r="G11" t="s">
        <v>536</v>
      </c>
      <c r="H11" t="s">
        <v>364</v>
      </c>
      <c r="I11" t="s">
        <v>570</v>
      </c>
      <c r="J11" t="s">
        <v>688</v>
      </c>
      <c r="K11" t="s">
        <v>707</v>
      </c>
    </row>
    <row r="12" spans="1:11">
      <c r="A12" s="2" t="s">
        <v>625</v>
      </c>
      <c r="C12" t="s">
        <v>626</v>
      </c>
      <c r="D12" t="s">
        <v>627</v>
      </c>
      <c r="E12" t="s">
        <v>265</v>
      </c>
      <c r="G12" t="s">
        <v>638</v>
      </c>
      <c r="H12" t="s">
        <v>640</v>
      </c>
      <c r="I12" t="s">
        <v>639</v>
      </c>
      <c r="J12" t="s">
        <v>689</v>
      </c>
      <c r="K12" t="s">
        <v>708</v>
      </c>
    </row>
    <row r="13" spans="1:11">
      <c r="A13" s="2" t="s">
        <v>322</v>
      </c>
      <c r="C13" t="s">
        <v>322</v>
      </c>
      <c r="D13" t="s">
        <v>628</v>
      </c>
      <c r="E13" t="s">
        <v>70</v>
      </c>
      <c r="G13" t="s">
        <v>641</v>
      </c>
      <c r="H13" t="s">
        <v>643</v>
      </c>
      <c r="I13" t="s">
        <v>642</v>
      </c>
      <c r="J13" t="s">
        <v>690</v>
      </c>
      <c r="K13" t="s">
        <v>709</v>
      </c>
    </row>
    <row r="14" spans="1:11">
      <c r="A14" s="2" t="s">
        <v>629</v>
      </c>
      <c r="C14" t="s">
        <v>631</v>
      </c>
      <c r="D14" t="s">
        <v>630</v>
      </c>
      <c r="E14" t="s">
        <v>70</v>
      </c>
      <c r="G14" t="s">
        <v>644</v>
      </c>
      <c r="H14" t="s">
        <v>646</v>
      </c>
      <c r="I14" t="s">
        <v>645</v>
      </c>
      <c r="J14" t="s">
        <v>691</v>
      </c>
      <c r="K14" t="s">
        <v>710</v>
      </c>
    </row>
    <row r="15" spans="1:11">
      <c r="A15" s="2" t="s">
        <v>632</v>
      </c>
      <c r="C15" t="s">
        <v>633</v>
      </c>
      <c r="D15" t="s">
        <v>634</v>
      </c>
      <c r="E15" t="s">
        <v>70</v>
      </c>
      <c r="G15" t="s">
        <v>647</v>
      </c>
      <c r="H15" t="s">
        <v>649</v>
      </c>
      <c r="I15" t="s">
        <v>648</v>
      </c>
      <c r="J15" t="s">
        <v>692</v>
      </c>
      <c r="K15" t="s">
        <v>711</v>
      </c>
    </row>
    <row r="16" spans="1:11">
      <c r="A16" s="2" t="s">
        <v>121</v>
      </c>
      <c r="C16" t="s">
        <v>121</v>
      </c>
      <c r="D16" t="s">
        <v>122</v>
      </c>
      <c r="E16" t="s">
        <v>70</v>
      </c>
      <c r="G16" t="s">
        <v>650</v>
      </c>
      <c r="H16" t="s">
        <v>652</v>
      </c>
      <c r="I16" t="s">
        <v>651</v>
      </c>
      <c r="J16" t="s">
        <v>693</v>
      </c>
      <c r="K16" t="s">
        <v>712</v>
      </c>
    </row>
    <row r="17" spans="1:18">
      <c r="A17" s="2" t="s">
        <v>119</v>
      </c>
      <c r="C17" t="s">
        <v>119</v>
      </c>
      <c r="D17" t="s">
        <v>635</v>
      </c>
      <c r="E17" t="s">
        <v>70</v>
      </c>
      <c r="G17" t="s">
        <v>653</v>
      </c>
      <c r="H17" t="s">
        <v>654</v>
      </c>
      <c r="I17" t="s">
        <v>637</v>
      </c>
      <c r="J17" t="s">
        <v>694</v>
      </c>
      <c r="K17" t="s">
        <v>713</v>
      </c>
    </row>
    <row r="18" spans="1:18">
      <c r="A18" s="2" t="s">
        <v>141</v>
      </c>
      <c r="C18" t="s">
        <v>141</v>
      </c>
      <c r="D18" t="s">
        <v>615</v>
      </c>
      <c r="E18" t="s">
        <v>70</v>
      </c>
      <c r="G18" t="s">
        <v>567</v>
      </c>
      <c r="H18" t="s">
        <v>568</v>
      </c>
      <c r="I18" t="s">
        <v>571</v>
      </c>
      <c r="J18" t="s">
        <v>695</v>
      </c>
      <c r="K18" t="s">
        <v>714</v>
      </c>
    </row>
    <row r="19" spans="1:18">
      <c r="A19" s="2" t="s">
        <v>339</v>
      </c>
      <c r="C19" t="s">
        <v>339</v>
      </c>
      <c r="D19" t="s">
        <v>313</v>
      </c>
      <c r="E19" t="s">
        <v>70</v>
      </c>
      <c r="G19" t="s">
        <v>433</v>
      </c>
      <c r="H19" t="s">
        <v>376</v>
      </c>
      <c r="I19" t="s">
        <v>622</v>
      </c>
      <c r="J19" t="s">
        <v>696</v>
      </c>
      <c r="K19" t="s">
        <v>715</v>
      </c>
    </row>
    <row r="20" spans="1:18">
      <c r="A20" s="2" t="s">
        <v>229</v>
      </c>
      <c r="C20" t="s">
        <v>224</v>
      </c>
      <c r="D20" t="s">
        <v>675</v>
      </c>
      <c r="E20" t="s">
        <v>70</v>
      </c>
      <c r="G20" t="s">
        <v>679</v>
      </c>
      <c r="H20" t="s">
        <v>605</v>
      </c>
      <c r="I20" t="s">
        <v>595</v>
      </c>
      <c r="J20" t="s">
        <v>697</v>
      </c>
      <c r="K20" t="s">
        <v>716</v>
      </c>
    </row>
    <row r="21" spans="1:18">
      <c r="A21" s="2" t="s">
        <v>230</v>
      </c>
      <c r="C21" t="s">
        <v>225</v>
      </c>
      <c r="D21" t="s">
        <v>673</v>
      </c>
      <c r="E21" t="s">
        <v>70</v>
      </c>
      <c r="G21" t="s">
        <v>680</v>
      </c>
      <c r="H21" t="s">
        <v>606</v>
      </c>
      <c r="I21" t="s">
        <v>597</v>
      </c>
      <c r="J21" t="s">
        <v>698</v>
      </c>
      <c r="K21" t="s">
        <v>717</v>
      </c>
    </row>
    <row r="23" spans="1:18">
      <c r="J23" t="s">
        <v>672</v>
      </c>
    </row>
    <row r="24" spans="1:18">
      <c r="J24" t="s">
        <v>472</v>
      </c>
      <c r="K24" t="s">
        <v>673</v>
      </c>
      <c r="L24" t="s">
        <v>674</v>
      </c>
      <c r="M24" t="s">
        <v>627</v>
      </c>
      <c r="N24" t="s">
        <v>511</v>
      </c>
      <c r="O24" t="s">
        <v>515</v>
      </c>
      <c r="P24" t="s">
        <v>623</v>
      </c>
      <c r="Q24" t="s">
        <v>635</v>
      </c>
      <c r="R24" t="s">
        <v>122</v>
      </c>
    </row>
    <row r="25" spans="1:18">
      <c r="J25" t="s">
        <v>676</v>
      </c>
      <c r="P25" t="s">
        <v>661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JavaEntityCode">
                <anchor moveWithCells="1" sizeWithCells="1">
                  <from>
                    <xdr:col>12</xdr:col>
                    <xdr:colOff>571500</xdr:colOff>
                    <xdr:row>0</xdr:row>
                    <xdr:rowOff>171450</xdr:rowOff>
                  </from>
                  <to>
                    <xdr:col>14</xdr:col>
                    <xdr:colOff>323850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B7" sqref="B7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269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322</v>
      </c>
      <c r="B9" t="s">
        <v>117</v>
      </c>
      <c r="C9" t="s">
        <v>322</v>
      </c>
      <c r="D9" t="s">
        <v>323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workbookViewId="0">
      <selection activeCell="D22" sqref="D22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3.25" style="19" customWidth="1"/>
    <col min="8" max="8" width="29.5" customWidth="1"/>
  </cols>
  <sheetData>
    <row r="1" spans="1:8">
      <c r="A1" s="2" t="s">
        <v>67</v>
      </c>
      <c r="B1" t="s">
        <v>303</v>
      </c>
      <c r="D1" t="s">
        <v>304</v>
      </c>
    </row>
    <row r="2" spans="1:8">
      <c r="A2" s="2" t="s">
        <v>69</v>
      </c>
      <c r="B2" t="s">
        <v>315</v>
      </c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5" t="s">
        <v>353</v>
      </c>
      <c r="H3" s="2" t="s">
        <v>352</v>
      </c>
    </row>
    <row r="4" spans="1:8" s="2" customFormat="1">
      <c r="A4" s="2" t="s">
        <v>118</v>
      </c>
      <c r="B4" s="12" t="s">
        <v>314</v>
      </c>
      <c r="C4" s="2" t="s">
        <v>118</v>
      </c>
      <c r="D4" s="2" t="s">
        <v>118</v>
      </c>
      <c r="E4" s="2" t="s">
        <v>70</v>
      </c>
      <c r="F4" s="2" t="s">
        <v>54</v>
      </c>
      <c r="G4" s="19" t="s">
        <v>417</v>
      </c>
      <c r="H4" s="2" t="s">
        <v>360</v>
      </c>
    </row>
    <row r="5" spans="1:8">
      <c r="A5" s="2" t="s">
        <v>317</v>
      </c>
      <c r="B5" s="12" t="s">
        <v>314</v>
      </c>
      <c r="C5" t="s">
        <v>123</v>
      </c>
      <c r="D5" t="s">
        <v>340</v>
      </c>
      <c r="E5" t="s">
        <v>70</v>
      </c>
      <c r="G5" s="19" t="s">
        <v>418</v>
      </c>
      <c r="H5" t="s">
        <v>361</v>
      </c>
    </row>
    <row r="6" spans="1:8">
      <c r="A6" s="2" t="s">
        <v>316</v>
      </c>
      <c r="B6" s="12" t="s">
        <v>314</v>
      </c>
      <c r="C6" t="s">
        <v>318</v>
      </c>
      <c r="D6" t="s">
        <v>341</v>
      </c>
      <c r="E6" t="s">
        <v>70</v>
      </c>
      <c r="G6" s="19" t="s">
        <v>419</v>
      </c>
      <c r="H6" t="s">
        <v>362</v>
      </c>
    </row>
    <row r="7" spans="1:8">
      <c r="A7" s="2" t="s">
        <v>261</v>
      </c>
      <c r="B7" s="12" t="s">
        <v>314</v>
      </c>
      <c r="C7" t="s">
        <v>55</v>
      </c>
      <c r="D7" t="s">
        <v>342</v>
      </c>
      <c r="E7" t="s">
        <v>70</v>
      </c>
      <c r="G7" s="19" t="s">
        <v>420</v>
      </c>
      <c r="H7" t="s">
        <v>363</v>
      </c>
    </row>
    <row r="8" spans="1:8">
      <c r="A8" s="2" t="s">
        <v>319</v>
      </c>
      <c r="B8" s="12" t="s">
        <v>314</v>
      </c>
      <c r="C8" t="s">
        <v>320</v>
      </c>
      <c r="D8" t="s">
        <v>305</v>
      </c>
      <c r="E8" t="s">
        <v>70</v>
      </c>
      <c r="G8" s="19" t="s">
        <v>421</v>
      </c>
      <c r="H8" t="s">
        <v>364</v>
      </c>
    </row>
    <row r="9" spans="1:8">
      <c r="A9" s="2" t="s">
        <v>321</v>
      </c>
      <c r="B9" s="12" t="s">
        <v>314</v>
      </c>
      <c r="C9" t="s">
        <v>321</v>
      </c>
      <c r="D9" t="s">
        <v>306</v>
      </c>
      <c r="E9" t="s">
        <v>265</v>
      </c>
      <c r="G9" s="19" t="s">
        <v>422</v>
      </c>
      <c r="H9" t="s">
        <v>365</v>
      </c>
    </row>
    <row r="10" spans="1:8">
      <c r="A10" s="2" t="s">
        <v>350</v>
      </c>
      <c r="B10" s="12" t="s">
        <v>314</v>
      </c>
      <c r="C10" t="s">
        <v>351</v>
      </c>
      <c r="D10" t="s">
        <v>343</v>
      </c>
      <c r="E10" t="s">
        <v>70</v>
      </c>
      <c r="G10" s="19" t="s">
        <v>423</v>
      </c>
      <c r="H10" t="s">
        <v>366</v>
      </c>
    </row>
    <row r="11" spans="1:8">
      <c r="A11" s="2" t="s">
        <v>324</v>
      </c>
      <c r="B11" s="12" t="s">
        <v>314</v>
      </c>
      <c r="C11" t="s">
        <v>325</v>
      </c>
      <c r="D11" t="s">
        <v>326</v>
      </c>
      <c r="E11" t="s">
        <v>70</v>
      </c>
      <c r="G11" s="19" t="s">
        <v>424</v>
      </c>
      <c r="H11" t="s">
        <v>367</v>
      </c>
    </row>
    <row r="12" spans="1:8">
      <c r="A12" s="2" t="s">
        <v>327</v>
      </c>
      <c r="B12" s="12" t="s">
        <v>314</v>
      </c>
      <c r="C12" t="s">
        <v>331</v>
      </c>
      <c r="D12" t="s">
        <v>307</v>
      </c>
      <c r="E12" t="s">
        <v>70</v>
      </c>
      <c r="G12" s="19" t="s">
        <v>425</v>
      </c>
      <c r="H12" t="s">
        <v>368</v>
      </c>
    </row>
    <row r="13" spans="1:8">
      <c r="A13" s="2" t="s">
        <v>328</v>
      </c>
      <c r="B13" s="12" t="s">
        <v>314</v>
      </c>
      <c r="C13" t="s">
        <v>332</v>
      </c>
      <c r="D13" t="s">
        <v>308</v>
      </c>
      <c r="E13" t="s">
        <v>70</v>
      </c>
      <c r="G13" s="19" t="s">
        <v>426</v>
      </c>
      <c r="H13" t="s">
        <v>369</v>
      </c>
    </row>
    <row r="14" spans="1:8">
      <c r="A14" s="2" t="s">
        <v>329</v>
      </c>
      <c r="B14" s="12" t="s">
        <v>314</v>
      </c>
      <c r="C14" t="s">
        <v>333</v>
      </c>
      <c r="D14" t="s">
        <v>309</v>
      </c>
      <c r="E14" t="s">
        <v>70</v>
      </c>
      <c r="G14" s="19" t="s">
        <v>427</v>
      </c>
      <c r="H14" t="s">
        <v>370</v>
      </c>
    </row>
    <row r="15" spans="1:8">
      <c r="A15" s="2" t="s">
        <v>330</v>
      </c>
      <c r="B15" s="12" t="s">
        <v>314</v>
      </c>
      <c r="C15" t="s">
        <v>334</v>
      </c>
      <c r="D15" t="s">
        <v>310</v>
      </c>
      <c r="E15" t="s">
        <v>74</v>
      </c>
      <c r="G15" s="19" t="s">
        <v>428</v>
      </c>
      <c r="H15" t="s">
        <v>371</v>
      </c>
    </row>
    <row r="16" spans="1:8">
      <c r="A16" s="2" t="s">
        <v>335</v>
      </c>
      <c r="B16" s="12" t="s">
        <v>314</v>
      </c>
      <c r="C16" t="s">
        <v>336</v>
      </c>
      <c r="D16" t="s">
        <v>311</v>
      </c>
      <c r="E16" t="s">
        <v>70</v>
      </c>
      <c r="G16" s="19" t="s">
        <v>429</v>
      </c>
      <c r="H16" t="s">
        <v>372</v>
      </c>
    </row>
    <row r="17" spans="1:8">
      <c r="A17" s="2" t="s">
        <v>337</v>
      </c>
      <c r="B17" s="12" t="s">
        <v>314</v>
      </c>
      <c r="C17" t="s">
        <v>338</v>
      </c>
      <c r="D17" t="s">
        <v>312</v>
      </c>
      <c r="E17" t="s">
        <v>70</v>
      </c>
      <c r="G17" s="19" t="s">
        <v>430</v>
      </c>
      <c r="H17" t="s">
        <v>373</v>
      </c>
    </row>
    <row r="18" spans="1:8">
      <c r="A18" s="2" t="s">
        <v>344</v>
      </c>
      <c r="B18" s="12" t="s">
        <v>314</v>
      </c>
      <c r="C18" t="s">
        <v>345</v>
      </c>
      <c r="D18" t="s">
        <v>349</v>
      </c>
      <c r="E18" t="s">
        <v>70</v>
      </c>
      <c r="G18" s="19" t="s">
        <v>431</v>
      </c>
      <c r="H18" t="s">
        <v>374</v>
      </c>
    </row>
    <row r="19" spans="1:8">
      <c r="A19" s="2" t="s">
        <v>346</v>
      </c>
      <c r="B19" s="12" t="s">
        <v>314</v>
      </c>
      <c r="C19" t="s">
        <v>347</v>
      </c>
      <c r="D19" t="s">
        <v>348</v>
      </c>
      <c r="E19" t="s">
        <v>70</v>
      </c>
      <c r="G19" s="19" t="s">
        <v>432</v>
      </c>
      <c r="H19" t="s">
        <v>375</v>
      </c>
    </row>
    <row r="20" spans="1:8">
      <c r="A20" s="2" t="s">
        <v>339</v>
      </c>
      <c r="B20" s="12" t="s">
        <v>314</v>
      </c>
      <c r="C20" t="s">
        <v>339</v>
      </c>
      <c r="D20" t="s">
        <v>313</v>
      </c>
      <c r="E20" t="s">
        <v>70</v>
      </c>
      <c r="G20" s="19" t="s">
        <v>433</v>
      </c>
      <c r="H20" t="s">
        <v>376</v>
      </c>
    </row>
    <row r="21" spans="1:8">
      <c r="A21" s="2" t="s">
        <v>355</v>
      </c>
      <c r="B21" s="12" t="s">
        <v>314</v>
      </c>
      <c r="C21" t="s">
        <v>354</v>
      </c>
      <c r="D21" t="s">
        <v>356</v>
      </c>
      <c r="E21" t="s">
        <v>70</v>
      </c>
      <c r="G21" s="19" t="s">
        <v>434</v>
      </c>
      <c r="H21" t="s">
        <v>377</v>
      </c>
    </row>
    <row r="22" spans="1:8">
      <c r="A22" s="2" t="s">
        <v>357</v>
      </c>
      <c r="B22" s="12" t="s">
        <v>314</v>
      </c>
      <c r="C22" t="s">
        <v>358</v>
      </c>
      <c r="D22" t="s">
        <v>359</v>
      </c>
      <c r="E22" t="s">
        <v>73</v>
      </c>
      <c r="G22" s="19" t="s">
        <v>435</v>
      </c>
      <c r="H22" t="s">
        <v>378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0"/>
  <sheetViews>
    <sheetView workbookViewId="0">
      <selection activeCell="D12" sqref="D12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52" customWidth="1"/>
  </cols>
  <sheetData>
    <row r="1" spans="1:8" ht="21.75" customHeight="1">
      <c r="A1" s="2" t="s">
        <v>67</v>
      </c>
      <c r="B1" t="s">
        <v>303</v>
      </c>
      <c r="D1" t="s">
        <v>379</v>
      </c>
      <c r="G1" s="19"/>
    </row>
    <row r="2" spans="1:8" ht="21.75" customHeight="1">
      <c r="A2" s="2" t="s">
        <v>69</v>
      </c>
      <c r="B2" t="s">
        <v>315</v>
      </c>
      <c r="G2" s="20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8" t="s">
        <v>417</v>
      </c>
      <c r="H4" t="s">
        <v>360</v>
      </c>
    </row>
    <row r="5" spans="1:8" ht="21.75" customHeight="1">
      <c r="A5" s="2" t="s">
        <v>380</v>
      </c>
      <c r="C5" t="s">
        <v>381</v>
      </c>
      <c r="D5" t="s">
        <v>382</v>
      </c>
      <c r="E5" t="s">
        <v>70</v>
      </c>
      <c r="G5" s="18" t="s">
        <v>446</v>
      </c>
      <c r="H5" t="s">
        <v>399</v>
      </c>
    </row>
    <row r="6" spans="1:8" ht="21.75" customHeight="1">
      <c r="A6" s="2" t="s">
        <v>383</v>
      </c>
      <c r="C6" t="s">
        <v>384</v>
      </c>
      <c r="D6" t="s">
        <v>385</v>
      </c>
      <c r="E6" t="s">
        <v>70</v>
      </c>
      <c r="G6" s="18" t="s">
        <v>447</v>
      </c>
      <c r="H6" t="s">
        <v>400</v>
      </c>
    </row>
    <row r="7" spans="1:8" ht="21.75" customHeight="1">
      <c r="A7" s="2" t="s">
        <v>386</v>
      </c>
      <c r="C7" t="s">
        <v>387</v>
      </c>
      <c r="D7" t="s">
        <v>388</v>
      </c>
      <c r="E7" t="s">
        <v>70</v>
      </c>
      <c r="G7" s="18" t="s">
        <v>448</v>
      </c>
      <c r="H7" t="s">
        <v>401</v>
      </c>
    </row>
    <row r="8" spans="1:8" ht="21.75" customHeight="1">
      <c r="A8" s="2" t="s">
        <v>330</v>
      </c>
      <c r="C8" t="s">
        <v>334</v>
      </c>
      <c r="D8" t="s">
        <v>389</v>
      </c>
      <c r="E8" t="s">
        <v>74</v>
      </c>
      <c r="G8" s="18" t="s">
        <v>428</v>
      </c>
      <c r="H8" t="s">
        <v>371</v>
      </c>
    </row>
    <row r="9" spans="1:8" ht="21.75" customHeight="1">
      <c r="A9" s="2" t="s">
        <v>390</v>
      </c>
      <c r="C9" t="s">
        <v>333</v>
      </c>
      <c r="D9" t="s">
        <v>391</v>
      </c>
      <c r="E9" t="s">
        <v>70</v>
      </c>
      <c r="G9" s="18" t="s">
        <v>449</v>
      </c>
      <c r="H9" t="s">
        <v>370</v>
      </c>
    </row>
    <row r="10" spans="1:8" ht="21.75" customHeight="1">
      <c r="A10" s="2" t="s">
        <v>392</v>
      </c>
      <c r="C10" t="s">
        <v>332</v>
      </c>
      <c r="D10" t="s">
        <v>308</v>
      </c>
      <c r="E10" t="s">
        <v>70</v>
      </c>
      <c r="G10" s="18" t="s">
        <v>450</v>
      </c>
      <c r="H10" t="s">
        <v>402</v>
      </c>
    </row>
    <row r="11" spans="1:8" ht="21.75" customHeight="1">
      <c r="A11" s="2" t="s">
        <v>393</v>
      </c>
      <c r="C11" t="s">
        <v>338</v>
      </c>
      <c r="D11" t="s">
        <v>394</v>
      </c>
      <c r="E11" t="s">
        <v>70</v>
      </c>
      <c r="G11" s="18" t="s">
        <v>451</v>
      </c>
      <c r="H11" t="s">
        <v>373</v>
      </c>
    </row>
    <row r="12" spans="1:8" ht="21.75" customHeight="1">
      <c r="A12" s="2" t="s">
        <v>395</v>
      </c>
      <c r="C12" t="s">
        <v>336</v>
      </c>
      <c r="D12" t="s">
        <v>396</v>
      </c>
      <c r="E12" t="s">
        <v>70</v>
      </c>
      <c r="G12" s="18" t="s">
        <v>452</v>
      </c>
      <c r="H12" t="s">
        <v>413</v>
      </c>
    </row>
    <row r="13" spans="1:8" ht="21.75" customHeight="1">
      <c r="A13" s="2" t="s">
        <v>398</v>
      </c>
      <c r="C13" t="s">
        <v>442</v>
      </c>
      <c r="D13" t="s">
        <v>397</v>
      </c>
      <c r="E13" t="s">
        <v>70</v>
      </c>
      <c r="G13" s="18" t="s">
        <v>453</v>
      </c>
      <c r="H13" t="s">
        <v>443</v>
      </c>
    </row>
    <row r="14" spans="1:8" ht="21.75" customHeight="1">
      <c r="A14" s="2" t="s">
        <v>440</v>
      </c>
      <c r="C14" t="s">
        <v>441</v>
      </c>
      <c r="D14" t="s">
        <v>397</v>
      </c>
      <c r="E14" t="s">
        <v>70</v>
      </c>
      <c r="G14" s="18" t="s">
        <v>454</v>
      </c>
      <c r="H14" t="s">
        <v>444</v>
      </c>
    </row>
    <row r="15" spans="1:8" ht="21.75" customHeight="1">
      <c r="A15" s="2" t="s">
        <v>403</v>
      </c>
      <c r="C15" t="s">
        <v>404</v>
      </c>
      <c r="D15" t="s">
        <v>405</v>
      </c>
      <c r="E15" t="s">
        <v>70</v>
      </c>
      <c r="G15" s="18" t="s">
        <v>455</v>
      </c>
      <c r="H15" t="s">
        <v>436</v>
      </c>
    </row>
    <row r="16" spans="1:8" ht="21.75" customHeight="1">
      <c r="A16" s="2" t="s">
        <v>415</v>
      </c>
      <c r="C16" t="s">
        <v>445</v>
      </c>
      <c r="D16" t="s">
        <v>406</v>
      </c>
      <c r="E16" t="s">
        <v>70</v>
      </c>
      <c r="G16" s="18" t="s">
        <v>456</v>
      </c>
      <c r="H16" t="s">
        <v>457</v>
      </c>
    </row>
    <row r="17" spans="1:8" ht="21.75" customHeight="1">
      <c r="A17" s="2" t="s">
        <v>414</v>
      </c>
      <c r="C17" t="s">
        <v>416</v>
      </c>
      <c r="D17" t="s">
        <v>407</v>
      </c>
      <c r="E17" t="s">
        <v>70</v>
      </c>
      <c r="G17" s="18" t="s">
        <v>458</v>
      </c>
      <c r="H17" t="s">
        <v>437</v>
      </c>
    </row>
    <row r="18" spans="1:8" ht="21.75" customHeight="1">
      <c r="A18" s="2" t="s">
        <v>409</v>
      </c>
      <c r="C18" t="s">
        <v>411</v>
      </c>
      <c r="D18" t="s">
        <v>408</v>
      </c>
      <c r="E18" t="s">
        <v>70</v>
      </c>
      <c r="G18" s="18" t="s">
        <v>459</v>
      </c>
      <c r="H18" t="s">
        <v>438</v>
      </c>
    </row>
    <row r="19" spans="1:8" ht="21.75" customHeight="1">
      <c r="A19" s="2" t="s">
        <v>410</v>
      </c>
      <c r="C19" t="s">
        <v>412</v>
      </c>
      <c r="D19" t="s">
        <v>408</v>
      </c>
      <c r="E19" t="s">
        <v>70</v>
      </c>
      <c r="G19" s="18" t="s">
        <v>460</v>
      </c>
      <c r="H19" t="s">
        <v>439</v>
      </c>
    </row>
    <row r="20" spans="1:8" ht="21.75" customHeight="1">
      <c r="A20" s="2" t="s">
        <v>461</v>
      </c>
      <c r="C20" t="s">
        <v>462</v>
      </c>
      <c r="D20" t="s">
        <v>463</v>
      </c>
      <c r="E20" t="s">
        <v>70</v>
      </c>
      <c r="G20" t="s">
        <v>464</v>
      </c>
      <c r="H20" t="s">
        <v>465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tripUI</vt:lpstr>
      <vt:lpstr>wf_pay_voucher</vt:lpstr>
      <vt:lpstr>PayVoucherUI</vt:lpstr>
      <vt:lpstr>wf_loan</vt:lpstr>
      <vt:lpstr>wf_inv</vt:lpstr>
      <vt:lpstr>fi_bank_acct</vt:lpstr>
      <vt:lpstr>fi_debit_book</vt:lpstr>
      <vt:lpstr>fi_credit_book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2024-04-12T03:39:52Z</dcterms:modified>
</cp:coreProperties>
</file>